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ecutive Summary" sheetId="1" r:id="rId4"/>
    <sheet state="visible" name="Payroll" sheetId="2" r:id="rId5"/>
  </sheets>
  <definedNames/>
  <calcPr/>
  <extLst>
    <ext uri="GoogleSheetsCustomDataVersion2">
      <go:sheetsCustomData xmlns:go="http://customooxmlschemas.google.com/" r:id="rId6" roundtripDataChecksum="cBhWxotk1qoFO7t54kVcmYPYumrBqjMPn6lhpvOWeJI="/>
    </ext>
  </extLst>
</workbook>
</file>

<file path=xl/sharedStrings.xml><?xml version="1.0" encoding="utf-8"?>
<sst xmlns="http://schemas.openxmlformats.org/spreadsheetml/2006/main" count="524" uniqueCount="109">
  <si>
    <t>Executive Summary</t>
  </si>
  <si>
    <t>Pay Ladder</t>
  </si>
  <si>
    <t>Monthly Active Tutors</t>
  </si>
  <si>
    <t>Cost of Living Key</t>
  </si>
  <si>
    <t>Monthly Active Students</t>
  </si>
  <si>
    <t>Level</t>
  </si>
  <si>
    <t>Average Revenue per Month</t>
  </si>
  <si>
    <t>Title</t>
  </si>
  <si>
    <t>Low COL</t>
  </si>
  <si>
    <t>Medium COL</t>
  </si>
  <si>
    <t>High COL</t>
  </si>
  <si>
    <t>State</t>
  </si>
  <si>
    <t>COL</t>
  </si>
  <si>
    <t>I</t>
  </si>
  <si>
    <t>Entry Level</t>
  </si>
  <si>
    <t>NC</t>
  </si>
  <si>
    <t>Medium</t>
  </si>
  <si>
    <t>II</t>
  </si>
  <si>
    <t>Training</t>
  </si>
  <si>
    <t>IL</t>
  </si>
  <si>
    <t>Month</t>
  </si>
  <si>
    <t>III</t>
  </si>
  <si>
    <t>Admin Cost</t>
  </si>
  <si>
    <t>Senior Tutor</t>
  </si>
  <si>
    <t>Tutor Cost</t>
  </si>
  <si>
    <t>NY</t>
  </si>
  <si>
    <t>High</t>
  </si>
  <si>
    <t>IV</t>
  </si>
  <si>
    <t>Admin</t>
  </si>
  <si>
    <t>Hours Sold</t>
  </si>
  <si>
    <t>Revenue</t>
  </si>
  <si>
    <t>DC</t>
  </si>
  <si>
    <t>Fixed Expenses</t>
  </si>
  <si>
    <t>MI</t>
  </si>
  <si>
    <t>Employee</t>
  </si>
  <si>
    <t>Hours (First Pay Period)</t>
  </si>
  <si>
    <t>Hours (Second Pay Period)</t>
  </si>
  <si>
    <t>Payrate</t>
  </si>
  <si>
    <t>Gross Pay (15th Payroll)</t>
  </si>
  <si>
    <t>Gross Pay (EOM Payroll)</t>
  </si>
  <si>
    <t>Jan</t>
  </si>
  <si>
    <t>Total Monthly Payroll</t>
  </si>
  <si>
    <t>A</t>
  </si>
  <si>
    <t>Average Tutor Cost per Month</t>
  </si>
  <si>
    <t>Feb</t>
  </si>
  <si>
    <t>Average Admin Cost per Month</t>
  </si>
  <si>
    <t>B</t>
  </si>
  <si>
    <t>Mar</t>
  </si>
  <si>
    <t>Gross Monthly Profit</t>
  </si>
  <si>
    <t>C</t>
  </si>
  <si>
    <t>Apr</t>
  </si>
  <si>
    <t>D</t>
  </si>
  <si>
    <t>G</t>
  </si>
  <si>
    <t>Margin %</t>
  </si>
  <si>
    <t>May</t>
  </si>
  <si>
    <t>H</t>
  </si>
  <si>
    <t>June</t>
  </si>
  <si>
    <t>Total Annual Revenue</t>
  </si>
  <si>
    <t>July</t>
  </si>
  <si>
    <t>J</t>
  </si>
  <si>
    <t>Aug</t>
  </si>
  <si>
    <t>Total Annual Tutor Cost</t>
  </si>
  <si>
    <t>Sept</t>
  </si>
  <si>
    <t>Total Annual Admin Cost</t>
  </si>
  <si>
    <t>Oct</t>
  </si>
  <si>
    <t>Gross Profit</t>
  </si>
  <si>
    <t>Nov</t>
  </si>
  <si>
    <t>Dec</t>
  </si>
  <si>
    <t>Admin Cost per Student</t>
  </si>
  <si>
    <t>Average Hours Sold</t>
  </si>
  <si>
    <t>Total Hours Sold</t>
  </si>
  <si>
    <t>Average Tutor Cost per Student</t>
  </si>
  <si>
    <t>Average Number of Students</t>
  </si>
  <si>
    <t>Total Number of Students</t>
  </si>
  <si>
    <t>Avg Revenue per Student</t>
  </si>
  <si>
    <t>January</t>
  </si>
  <si>
    <t>Active Tutors</t>
  </si>
  <si>
    <t>Active Students</t>
  </si>
  <si>
    <t>Name</t>
  </si>
  <si>
    <t>Hours/Month</t>
  </si>
  <si>
    <t>Pay/Month</t>
  </si>
  <si>
    <t>Price</t>
  </si>
  <si>
    <t>Tutor A</t>
  </si>
  <si>
    <t>Family1</t>
  </si>
  <si>
    <t>Tutor Payroll</t>
  </si>
  <si>
    <t>Tutor B</t>
  </si>
  <si>
    <t>Family2</t>
  </si>
  <si>
    <t>Admin Payroll</t>
  </si>
  <si>
    <t>Tutor C</t>
  </si>
  <si>
    <t>Family3</t>
  </si>
  <si>
    <t>Tutor D</t>
  </si>
  <si>
    <t>Family4</t>
  </si>
  <si>
    <t>Family5</t>
  </si>
  <si>
    <t>Number of Students</t>
  </si>
  <si>
    <t>February</t>
  </si>
  <si>
    <t>March</t>
  </si>
  <si>
    <t>April</t>
  </si>
  <si>
    <t>August</t>
  </si>
  <si>
    <t>Family 6</t>
  </si>
  <si>
    <t>September</t>
  </si>
  <si>
    <t>Tutor E</t>
  </si>
  <si>
    <t>Family 7</t>
  </si>
  <si>
    <t>Tutor F</t>
  </si>
  <si>
    <t>Family 8</t>
  </si>
  <si>
    <t>October</t>
  </si>
  <si>
    <t>November</t>
  </si>
  <si>
    <t>December</t>
  </si>
  <si>
    <t>Family 9</t>
  </si>
  <si>
    <t>Template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</si>
</sst>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$&quot;#,##0"/>
    <numFmt numFmtId="165" formatCode="&quot;$&quot;#,##0.00"/>
    <numFmt numFmtId="166" formatCode="#,##0.0"/>
    <numFmt numFmtId="167" formatCode="0.0%"/>
  </numFmts>
  <fonts count="8">
    <font>
      <sz val="11.0"/>
      <color theme="1"/>
      <name val="Calibri"/>
      <scheme val="minor"/>
    </font>
    <font>
      <b/>
      <sz val="13.0"/>
      <color theme="1"/>
      <name val="Calibri"/>
      <scheme val="minor"/>
    </font>
    <font/>
    <font>
      <b/>
      <color theme="1"/>
      <name val="Calibri"/>
      <scheme val="minor"/>
    </font>
    <font>
      <color theme="1"/>
      <name val="Calibri"/>
      <scheme val="minor"/>
    </font>
    <font>
      <color rgb="FFFFFFFF"/>
      <name val="Calibri"/>
      <scheme val="minor"/>
    </font>
    <font>
      <b/>
      <u/>
      <color rgb="FF1155CC"/>
      <name val="Calibri"/>
      <scheme val="minor"/>
    </font>
    <font>
      <sz val="11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1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0" fillId="0" fontId="3" numFmtId="0" xfId="0" applyAlignment="1" applyFont="1">
      <alignment readingOrder="0"/>
    </xf>
    <xf borderId="0" fillId="0" fontId="3" numFmtId="0" xfId="0" applyFont="1"/>
    <xf borderId="3" fillId="0" fontId="2" numFmtId="0" xfId="0" applyBorder="1" applyFont="1"/>
    <xf borderId="4" fillId="0" fontId="3" numFmtId="0" xfId="0" applyAlignment="1" applyBorder="1" applyFont="1">
      <alignment readingOrder="0"/>
    </xf>
    <xf borderId="0" fillId="0" fontId="3" numFmtId="0" xfId="0" applyFont="1"/>
    <xf borderId="0" fillId="0" fontId="4" numFmtId="0" xfId="0" applyAlignment="1" applyFont="1">
      <alignment readingOrder="0"/>
    </xf>
    <xf borderId="0" fillId="0" fontId="4" numFmtId="0" xfId="0" applyFont="1"/>
    <xf borderId="0" fillId="0" fontId="4" numFmtId="164" xfId="0" applyAlignment="1" applyFont="1" applyNumberFormat="1">
      <alignment readingOrder="0"/>
    </xf>
    <xf borderId="0" fillId="3" fontId="4" numFmtId="164" xfId="0" applyFill="1" applyFont="1" applyNumberFormat="1"/>
    <xf borderId="2" fillId="4" fontId="3" numFmtId="0" xfId="0" applyAlignment="1" applyBorder="1" applyFill="1" applyFont="1">
      <alignment horizontal="center" readingOrder="0" shrinkToFit="0" vertical="bottom" wrapText="1"/>
    </xf>
    <xf borderId="1" fillId="4" fontId="3" numFmtId="0" xfId="0" applyAlignment="1" applyBorder="1" applyFont="1">
      <alignment horizontal="center" readingOrder="0" shrinkToFit="0" vertical="bottom" wrapText="1"/>
    </xf>
    <xf borderId="2" fillId="4" fontId="3" numFmtId="165" xfId="0" applyAlignment="1" applyBorder="1" applyFont="1" applyNumberFormat="1">
      <alignment horizontal="center" shrinkToFit="0" vertical="bottom" wrapText="1"/>
    </xf>
    <xf borderId="0" fillId="4" fontId="4" numFmtId="165" xfId="0" applyAlignment="1" applyFont="1" applyNumberFormat="1">
      <alignment readingOrder="0"/>
    </xf>
    <xf borderId="3" fillId="4" fontId="3" numFmtId="0" xfId="0" applyAlignment="1" applyBorder="1" applyFont="1">
      <alignment horizontal="center" readingOrder="0" shrinkToFit="0" vertical="bottom" wrapText="1"/>
    </xf>
    <xf borderId="0" fillId="0" fontId="4" numFmtId="0" xfId="0" applyAlignment="1" applyFont="1">
      <alignment readingOrder="0" vertical="bottom"/>
    </xf>
    <xf borderId="5" fillId="0" fontId="4" numFmtId="0" xfId="0" applyAlignment="1" applyBorder="1" applyFont="1">
      <alignment readingOrder="0" vertical="bottom"/>
    </xf>
    <xf borderId="0" fillId="0" fontId="4" numFmtId="165" xfId="0" applyFont="1" applyNumberFormat="1"/>
    <xf borderId="6" fillId="0" fontId="4" numFmtId="0" xfId="0" applyAlignment="1" applyBorder="1" applyFont="1">
      <alignment readingOrder="0" vertical="bottom"/>
    </xf>
    <xf borderId="0" fillId="0" fontId="4" numFmtId="164" xfId="0" applyAlignment="1" applyFont="1" applyNumberFormat="1">
      <alignment horizontal="right" readingOrder="0" vertical="bottom"/>
    </xf>
    <xf borderId="0" fillId="0" fontId="4" numFmtId="166" xfId="0" applyFont="1" applyNumberFormat="1"/>
    <xf borderId="5" fillId="0" fontId="4" numFmtId="165" xfId="0" applyAlignment="1" applyBorder="1" applyFont="1" applyNumberFormat="1">
      <alignment horizontal="right" vertical="bottom"/>
    </xf>
    <xf borderId="6" fillId="0" fontId="4" numFmtId="165" xfId="0" applyAlignment="1" applyBorder="1" applyFont="1" applyNumberFormat="1">
      <alignment horizontal="right" vertical="bottom"/>
    </xf>
    <xf borderId="0" fillId="4" fontId="4" numFmtId="0" xfId="0" applyAlignment="1" applyFont="1">
      <alignment readingOrder="0" vertical="bottom"/>
    </xf>
    <xf borderId="5" fillId="4" fontId="4" numFmtId="0" xfId="0" applyAlignment="1" applyBorder="1" applyFont="1">
      <alignment readingOrder="0" vertical="bottom"/>
    </xf>
    <xf borderId="6" fillId="4" fontId="4" numFmtId="0" xfId="0" applyAlignment="1" applyBorder="1" applyFont="1">
      <alignment readingOrder="0" vertical="bottom"/>
    </xf>
    <xf borderId="0" fillId="4" fontId="4" numFmtId="164" xfId="0" applyAlignment="1" applyFont="1" applyNumberFormat="1">
      <alignment horizontal="right" readingOrder="0" vertical="bottom"/>
    </xf>
    <xf borderId="5" fillId="4" fontId="4" numFmtId="165" xfId="0" applyAlignment="1" applyBorder="1" applyFont="1" applyNumberFormat="1">
      <alignment horizontal="right" vertical="bottom"/>
    </xf>
    <xf borderId="6" fillId="4" fontId="4" numFmtId="165" xfId="0" applyAlignment="1" applyBorder="1" applyFont="1" applyNumberFormat="1">
      <alignment horizontal="right" vertical="bottom"/>
    </xf>
    <xf borderId="0" fillId="0" fontId="4" numFmtId="165" xfId="0" applyFont="1" applyNumberFormat="1"/>
    <xf borderId="7" fillId="0" fontId="4" numFmtId="0" xfId="0" applyAlignment="1" applyBorder="1" applyFont="1">
      <alignment readingOrder="0" vertical="bottom"/>
    </xf>
    <xf borderId="8" fillId="0" fontId="4" numFmtId="0" xfId="0" applyAlignment="1" applyBorder="1" applyFont="1">
      <alignment readingOrder="0" vertical="bottom"/>
    </xf>
    <xf borderId="9" fillId="0" fontId="4" numFmtId="0" xfId="0" applyAlignment="1" applyBorder="1" applyFont="1">
      <alignment readingOrder="0" vertical="bottom"/>
    </xf>
    <xf borderId="7" fillId="0" fontId="4" numFmtId="165" xfId="0" applyAlignment="1" applyBorder="1" applyFont="1" applyNumberFormat="1">
      <alignment horizontal="right" readingOrder="0" vertical="bottom"/>
    </xf>
    <xf borderId="0" fillId="0" fontId="4" numFmtId="167" xfId="0" applyFont="1" applyNumberFormat="1"/>
    <xf borderId="8" fillId="0" fontId="4" numFmtId="165" xfId="0" applyAlignment="1" applyBorder="1" applyFont="1" applyNumberFormat="1">
      <alignment horizontal="right" vertical="bottom"/>
    </xf>
    <xf borderId="9" fillId="0" fontId="4" numFmtId="165" xfId="0" applyAlignment="1" applyBorder="1" applyFont="1" applyNumberFormat="1">
      <alignment horizontal="right" vertical="bottom"/>
    </xf>
    <xf borderId="0" fillId="5" fontId="4" numFmtId="0" xfId="0" applyAlignment="1" applyFill="1" applyFont="1">
      <alignment readingOrder="0" vertical="bottom"/>
    </xf>
    <xf borderId="5" fillId="5" fontId="4" numFmtId="0" xfId="0" applyAlignment="1" applyBorder="1" applyFont="1">
      <alignment readingOrder="0" vertical="bottom"/>
    </xf>
    <xf borderId="6" fillId="5" fontId="4" numFmtId="0" xfId="0" applyAlignment="1" applyBorder="1" applyFont="1">
      <alignment readingOrder="0" vertical="bottom"/>
    </xf>
    <xf borderId="0" fillId="5" fontId="4" numFmtId="165" xfId="0" applyAlignment="1" applyFont="1" applyNumberFormat="1">
      <alignment horizontal="right" readingOrder="0" vertical="bottom"/>
    </xf>
    <xf borderId="5" fillId="5" fontId="4" numFmtId="165" xfId="0" applyAlignment="1" applyBorder="1" applyFont="1" applyNumberFormat="1">
      <alignment horizontal="right" vertical="bottom"/>
    </xf>
    <xf borderId="6" fillId="5" fontId="4" numFmtId="165" xfId="0" applyAlignment="1" applyBorder="1" applyFont="1" applyNumberFormat="1">
      <alignment horizontal="right" vertical="bottom"/>
    </xf>
    <xf borderId="0" fillId="0" fontId="4" numFmtId="165" xfId="0" applyAlignment="1" applyFont="1" applyNumberFormat="1">
      <alignment horizontal="right" readingOrder="0" vertical="bottom"/>
    </xf>
    <xf borderId="10" fillId="5" fontId="4" numFmtId="0" xfId="0" applyAlignment="1" applyBorder="1" applyFont="1">
      <alignment readingOrder="0" vertical="bottom"/>
    </xf>
    <xf borderId="11" fillId="5" fontId="4" numFmtId="0" xfId="0" applyAlignment="1" applyBorder="1" applyFont="1">
      <alignment readingOrder="0" vertical="bottom"/>
    </xf>
    <xf borderId="10" fillId="5" fontId="4" numFmtId="165" xfId="0" applyAlignment="1" applyBorder="1" applyFont="1" applyNumberFormat="1">
      <alignment horizontal="right" vertical="bottom"/>
    </xf>
    <xf borderId="11" fillId="5" fontId="4" numFmtId="165" xfId="0" applyAlignment="1" applyBorder="1" applyFont="1" applyNumberFormat="1">
      <alignment horizontal="right" vertical="bottom"/>
    </xf>
    <xf borderId="0" fillId="0" fontId="4" numFmtId="0" xfId="0" applyAlignment="1" applyFont="1">
      <alignment vertical="bottom"/>
    </xf>
    <xf borderId="0" fillId="0" fontId="4" numFmtId="165" xfId="0" applyAlignment="1" applyFont="1" applyNumberFormat="1">
      <alignment vertical="bottom"/>
    </xf>
    <xf borderId="0" fillId="4" fontId="4" numFmtId="165" xfId="0" applyAlignment="1" applyFont="1" applyNumberFormat="1">
      <alignment horizontal="right" vertical="bottom"/>
    </xf>
    <xf borderId="0" fillId="6" fontId="5" numFmtId="165" xfId="0" applyFill="1" applyFont="1" applyNumberFormat="1"/>
    <xf borderId="0" fillId="0" fontId="4" numFmtId="0" xfId="0" applyFont="1"/>
    <xf borderId="0" fillId="0" fontId="4" numFmtId="0" xfId="0" applyAlignment="1" applyFont="1">
      <alignment shrinkToFit="0" wrapText="1"/>
    </xf>
    <xf borderId="8" fillId="4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4" fontId="3" numFmtId="0" xfId="0" applyAlignment="1" applyBorder="1" applyFont="1">
      <alignment readingOrder="0" shrinkToFit="0" wrapText="1"/>
    </xf>
    <xf borderId="8" fillId="3" fontId="3" numFmtId="0" xfId="0" applyAlignment="1" applyBorder="1" applyFont="1">
      <alignment readingOrder="0" shrinkToFit="0" wrapText="1"/>
    </xf>
    <xf borderId="7" fillId="3" fontId="3" numFmtId="0" xfId="0" applyAlignment="1" applyBorder="1" applyFont="1">
      <alignment readingOrder="0" shrinkToFit="0" wrapText="1"/>
    </xf>
    <xf borderId="9" fillId="3" fontId="3" numFmtId="0" xfId="0" applyAlignment="1" applyBorder="1" applyFont="1">
      <alignment readingOrder="0" shrinkToFit="0" wrapText="1"/>
    </xf>
    <xf borderId="0" fillId="0" fontId="4" numFmtId="0" xfId="0" applyAlignment="1" applyFont="1">
      <alignment readingOrder="0" shrinkToFit="0" wrapText="1"/>
    </xf>
    <xf borderId="10" fillId="4" fontId="4" numFmtId="164" xfId="0" applyBorder="1" applyFont="1" applyNumberFormat="1"/>
    <xf borderId="10" fillId="0" fontId="4" numFmtId="166" xfId="0" applyBorder="1" applyFont="1" applyNumberFormat="1"/>
    <xf borderId="12" fillId="0" fontId="4" numFmtId="166" xfId="0" applyBorder="1" applyFont="1" applyNumberFormat="1"/>
    <xf borderId="12" fillId="4" fontId="4" numFmtId="164" xfId="0" applyBorder="1" applyFont="1" applyNumberFormat="1"/>
    <xf borderId="10" fillId="0" fontId="4" numFmtId="3" xfId="0" applyBorder="1" applyFont="1" applyNumberFormat="1"/>
    <xf borderId="12" fillId="0" fontId="4" numFmtId="3" xfId="0" applyBorder="1" applyFont="1" applyNumberFormat="1"/>
    <xf borderId="10" fillId="3" fontId="4" numFmtId="164" xfId="0" applyBorder="1" applyFont="1" applyNumberFormat="1"/>
    <xf borderId="12" fillId="3" fontId="4" numFmtId="164" xfId="0" applyBorder="1" applyFont="1" applyNumberFormat="1"/>
    <xf borderId="11" fillId="3" fontId="4" numFmtId="164" xfId="0" applyBorder="1" applyFont="1" applyNumberFormat="1"/>
    <xf borderId="0" fillId="0" fontId="6" numFmtId="0" xfId="0" applyAlignment="1" applyFont="1">
      <alignment readingOrder="0"/>
    </xf>
    <xf borderId="0" fillId="5" fontId="4" numFmtId="165" xfId="0" applyAlignment="1" applyFont="1" applyNumberFormat="1">
      <alignment readingOrder="0"/>
    </xf>
    <xf borderId="0" fillId="5" fontId="4" numFmtId="0" xfId="0" applyAlignment="1" applyFont="1">
      <alignment readingOrder="0"/>
    </xf>
    <xf borderId="0" fillId="5" fontId="4" numFmtId="164" xfId="0" applyAlignment="1" applyFont="1" applyNumberFormat="1">
      <alignment readingOrder="0"/>
    </xf>
    <xf borderId="0" fillId="5" fontId="4" numFmtId="0" xfId="0" applyFont="1"/>
    <xf borderId="13" fillId="0" fontId="3" numFmtId="0" xfId="0" applyAlignment="1" applyBorder="1" applyFont="1">
      <alignment readingOrder="0" shrinkToFit="0" wrapText="1"/>
    </xf>
    <xf borderId="14" fillId="0" fontId="4" numFmtId="164" xfId="0" applyBorder="1" applyFont="1" applyNumberFormat="1"/>
    <xf borderId="14" fillId="0" fontId="4" numFmtId="166" xfId="0" applyBorder="1" applyFont="1" applyNumberFormat="1"/>
    <xf borderId="14" fillId="7" fontId="4" numFmtId="3" xfId="0" applyBorder="1" applyFill="1" applyFont="1" applyNumberFormat="1"/>
    <xf borderId="0" fillId="3" fontId="7" numFmtId="164" xfId="0" applyAlignment="1" applyFont="1" applyNumberFormat="1">
      <alignment horizontal="right" vertical="bottom"/>
    </xf>
    <xf borderId="0" fillId="5" fontId="7" numFmtId="165" xfId="0" applyAlignment="1" applyFont="1" applyNumberFormat="1">
      <alignment horizontal="right" vertical="bottom"/>
    </xf>
    <xf borderId="0" fillId="5" fontId="7" numFmtId="165" xfId="0" applyAlignment="1" applyFont="1" applyNumberFormat="1">
      <alignment horizontal="right" readingOrder="0" vertical="bottom"/>
    </xf>
    <xf borderId="0" fillId="0" fontId="7" numFmtId="165" xfId="0" applyAlignment="1" applyFont="1" applyNumberFormat="1">
      <alignment horizontal="right" vertical="bottom"/>
    </xf>
    <xf borderId="0" fillId="0" fontId="7" numFmtId="167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381000</xdr:colOff>
      <xdr:row>1</xdr:row>
      <xdr:rowOff>171450</xdr:rowOff>
    </xdr:from>
    <xdr:ext cx="5743575" cy="30289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28.43"/>
  </cols>
  <sheetData>
    <row r="2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5"/>
    </row>
    <row r="3">
      <c r="F3" s="3" t="s">
        <v>2</v>
      </c>
      <c r="G3" s="4"/>
      <c r="H3" s="3"/>
      <c r="I3" s="3" t="s">
        <v>4</v>
      </c>
      <c r="J3" s="4"/>
      <c r="K3" s="4"/>
    </row>
    <row r="4">
      <c r="B4" s="7" t="s">
        <v>6</v>
      </c>
      <c r="C4" s="11">
        <f>average(K5:K16)</f>
        <v>3735.416667</v>
      </c>
      <c r="F4" s="6" t="s">
        <v>20</v>
      </c>
      <c r="G4" s="6" t="s">
        <v>22</v>
      </c>
      <c r="H4" s="6" t="s">
        <v>24</v>
      </c>
      <c r="I4" s="6" t="s">
        <v>20</v>
      </c>
      <c r="J4" s="6" t="s">
        <v>29</v>
      </c>
      <c r="K4" s="6" t="s">
        <v>30</v>
      </c>
    </row>
    <row r="5">
      <c r="B5" s="3" t="s">
        <v>32</v>
      </c>
      <c r="C5" s="15">
        <f>average(C26,C41,C55,C69,C83,C97,C111,C125,C139,C153,C167,C181)</f>
        <v>1150</v>
      </c>
      <c r="F5" s="8" t="s">
        <v>40</v>
      </c>
      <c r="G5" s="19">
        <f>C28</f>
        <v>700</v>
      </c>
      <c r="H5" s="19">
        <f>C27</f>
        <v>1020</v>
      </c>
      <c r="I5" s="8" t="s">
        <v>40</v>
      </c>
      <c r="J5" s="22">
        <f>F34</f>
        <v>22</v>
      </c>
      <c r="K5" s="10">
        <f>K34</f>
        <v>3375</v>
      </c>
    </row>
    <row r="6">
      <c r="B6" s="3" t="s">
        <v>43</v>
      </c>
      <c r="C6" s="15">
        <f>average(H5:H16)</f>
        <v>1223.333333</v>
      </c>
      <c r="F6" s="8" t="s">
        <v>44</v>
      </c>
      <c r="G6" s="19">
        <f>C43</f>
        <v>750</v>
      </c>
      <c r="H6" s="19">
        <f>C42</f>
        <v>1050</v>
      </c>
      <c r="I6" s="8" t="s">
        <v>44</v>
      </c>
      <c r="J6" s="22">
        <f>F49</f>
        <v>22</v>
      </c>
      <c r="K6" s="10">
        <f>K49</f>
        <v>3375</v>
      </c>
    </row>
    <row r="7">
      <c r="B7" s="3" t="s">
        <v>45</v>
      </c>
      <c r="C7" s="15">
        <f>average(G5:G16)</f>
        <v>720.8333333</v>
      </c>
      <c r="F7" s="8" t="s">
        <v>47</v>
      </c>
      <c r="G7" s="19">
        <f>C57</f>
        <v>850</v>
      </c>
      <c r="H7" s="19">
        <f>C56</f>
        <v>1050</v>
      </c>
      <c r="I7" s="8" t="s">
        <v>47</v>
      </c>
      <c r="J7" s="22">
        <f>F63</f>
        <v>22</v>
      </c>
      <c r="K7" s="10">
        <f>K63</f>
        <v>3375</v>
      </c>
    </row>
    <row r="8">
      <c r="B8" s="3" t="s">
        <v>48</v>
      </c>
      <c r="C8" s="31">
        <f>C4-sum(C5:C7)</f>
        <v>641.25</v>
      </c>
      <c r="F8" s="8" t="s">
        <v>50</v>
      </c>
      <c r="G8" s="19">
        <f>C71</f>
        <v>1200</v>
      </c>
      <c r="H8" s="19">
        <f>C70</f>
        <v>1200</v>
      </c>
      <c r="I8" s="8" t="s">
        <v>50</v>
      </c>
      <c r="J8" s="22">
        <f>F77</f>
        <v>22</v>
      </c>
      <c r="K8" s="10">
        <f>K77</f>
        <v>3375</v>
      </c>
    </row>
    <row r="9">
      <c r="B9" s="3" t="s">
        <v>53</v>
      </c>
      <c r="C9" s="36">
        <f>C8/C4</f>
        <v>0.1716675962</v>
      </c>
      <c r="F9" s="8" t="s">
        <v>54</v>
      </c>
      <c r="G9" s="19">
        <f>C85</f>
        <v>800</v>
      </c>
      <c r="H9" s="19">
        <f>C84</f>
        <v>1100</v>
      </c>
      <c r="I9" s="8" t="s">
        <v>54</v>
      </c>
      <c r="J9" s="22">
        <f>F91</f>
        <v>22</v>
      </c>
      <c r="K9" s="10">
        <f>K91</f>
        <v>3375</v>
      </c>
    </row>
    <row r="10">
      <c r="F10" s="8" t="s">
        <v>56</v>
      </c>
      <c r="G10" s="19">
        <f>C99</f>
        <v>650</v>
      </c>
      <c r="H10" s="19">
        <f>C98</f>
        <v>860</v>
      </c>
      <c r="I10" s="8" t="s">
        <v>56</v>
      </c>
      <c r="J10" s="22">
        <f>F105</f>
        <v>18</v>
      </c>
      <c r="K10" s="10">
        <f>K105</f>
        <v>2725</v>
      </c>
    </row>
    <row r="11">
      <c r="B11" s="3" t="s">
        <v>57</v>
      </c>
      <c r="C11" s="11">
        <f>sum(K5:K16)</f>
        <v>44825</v>
      </c>
      <c r="F11" s="8" t="s">
        <v>58</v>
      </c>
      <c r="G11" s="19">
        <f>C113</f>
        <v>500</v>
      </c>
      <c r="H11" s="19">
        <f>C112</f>
        <v>1000</v>
      </c>
      <c r="I11" s="8" t="s">
        <v>58</v>
      </c>
      <c r="J11" s="22">
        <f>F119</f>
        <v>20</v>
      </c>
      <c r="K11" s="10">
        <f>K119</f>
        <v>2725</v>
      </c>
    </row>
    <row r="12">
      <c r="B12" s="3" t="s">
        <v>32</v>
      </c>
      <c r="C12" s="15">
        <f>C26+C41+C55+C69+C83+C97+C111+C125+C139+C153+C167+C181</f>
        <v>13800</v>
      </c>
      <c r="F12" s="8" t="s">
        <v>60</v>
      </c>
      <c r="G12" s="19">
        <f>C127</f>
        <v>500</v>
      </c>
      <c r="H12" s="19">
        <f>C126</f>
        <v>1300</v>
      </c>
      <c r="I12" s="8" t="s">
        <v>60</v>
      </c>
      <c r="J12" s="22">
        <f>F133</f>
        <v>26</v>
      </c>
      <c r="K12" s="10">
        <f>K133</f>
        <v>3725</v>
      </c>
    </row>
    <row r="13">
      <c r="B13" s="3" t="s">
        <v>61</v>
      </c>
      <c r="C13" s="15">
        <f>sum(H5:H16)</f>
        <v>14680</v>
      </c>
      <c r="F13" s="8" t="s">
        <v>62</v>
      </c>
      <c r="G13" s="19">
        <f>C141</f>
        <v>500</v>
      </c>
      <c r="H13" s="19">
        <f>C140</f>
        <v>1450</v>
      </c>
      <c r="I13" s="8" t="s">
        <v>62</v>
      </c>
      <c r="J13" s="22">
        <f>F147</f>
        <v>32</v>
      </c>
      <c r="K13" s="10">
        <f>K147</f>
        <v>4500</v>
      </c>
    </row>
    <row r="14">
      <c r="B14" s="3" t="s">
        <v>63</v>
      </c>
      <c r="C14" s="15">
        <f>sum(G5:G16)</f>
        <v>8650</v>
      </c>
      <c r="F14" s="8" t="s">
        <v>64</v>
      </c>
      <c r="G14" s="19">
        <f>C155</f>
        <v>650</v>
      </c>
      <c r="H14" s="19">
        <f>C154</f>
        <v>1450</v>
      </c>
      <c r="I14" s="8" t="s">
        <v>64</v>
      </c>
      <c r="J14" s="22">
        <f>F161</f>
        <v>32</v>
      </c>
      <c r="K14" s="10">
        <f>K161</f>
        <v>4500</v>
      </c>
    </row>
    <row r="15">
      <c r="B15" s="3" t="s">
        <v>65</v>
      </c>
      <c r="C15" s="31">
        <f>C11-sum(C12:C14)</f>
        <v>7695</v>
      </c>
      <c r="F15" s="8" t="s">
        <v>66</v>
      </c>
      <c r="G15" s="19">
        <f>C169</f>
        <v>700</v>
      </c>
      <c r="H15" s="19">
        <f>C168</f>
        <v>1500</v>
      </c>
      <c r="I15" s="8" t="s">
        <v>66</v>
      </c>
      <c r="J15" s="22">
        <f>F175</f>
        <v>32</v>
      </c>
      <c r="K15" s="10">
        <f>K175</f>
        <v>4500</v>
      </c>
    </row>
    <row r="16">
      <c r="B16" s="3" t="s">
        <v>53</v>
      </c>
      <c r="C16" s="36">
        <f>C15/C11</f>
        <v>0.1716675962</v>
      </c>
      <c r="F16" s="8" t="s">
        <v>67</v>
      </c>
      <c r="G16" s="19">
        <f>C183</f>
        <v>850</v>
      </c>
      <c r="H16" s="19">
        <f>C182</f>
        <v>1700</v>
      </c>
      <c r="I16" s="8" t="s">
        <v>67</v>
      </c>
      <c r="J16" s="22">
        <f>F189</f>
        <v>38</v>
      </c>
      <c r="K16" s="10">
        <f>K189</f>
        <v>5275</v>
      </c>
    </row>
    <row r="18">
      <c r="B18" s="55"/>
      <c r="C18" s="56" t="s">
        <v>68</v>
      </c>
      <c r="D18" s="57" t="s">
        <v>69</v>
      </c>
      <c r="E18" s="58" t="s">
        <v>70</v>
      </c>
      <c r="F18" s="56" t="s">
        <v>43</v>
      </c>
      <c r="G18" s="59" t="s">
        <v>71</v>
      </c>
      <c r="H18" s="57" t="s">
        <v>72</v>
      </c>
      <c r="I18" s="58" t="s">
        <v>73</v>
      </c>
      <c r="J18" s="60" t="s">
        <v>6</v>
      </c>
      <c r="K18" s="61" t="s">
        <v>74</v>
      </c>
      <c r="L18" s="62" t="s">
        <v>57</v>
      </c>
      <c r="M18" s="63"/>
      <c r="N18" s="55"/>
      <c r="O18" s="63"/>
      <c r="P18" s="55"/>
      <c r="Q18" s="63"/>
      <c r="R18" s="55"/>
      <c r="S18" s="55"/>
      <c r="T18" s="63"/>
      <c r="U18" s="63"/>
    </row>
    <row r="19">
      <c r="C19" s="64">
        <f>average(C6/H19)</f>
        <v>244.6666667</v>
      </c>
      <c r="D19" s="65">
        <f t="shared" ref="D19:E19" si="1">average(J6:J10)</f>
        <v>21.2</v>
      </c>
      <c r="E19" s="66">
        <f t="shared" si="1"/>
        <v>3245</v>
      </c>
      <c r="F19" s="64">
        <f>sum(H6:H17)</f>
        <v>13660</v>
      </c>
      <c r="G19" s="67">
        <f>F19/H19</f>
        <v>2732</v>
      </c>
      <c r="H19" s="68">
        <v>5.0</v>
      </c>
      <c r="I19" s="69">
        <v>5.0</v>
      </c>
      <c r="J19" s="70">
        <f>L19/12</f>
        <v>3735.416667</v>
      </c>
      <c r="K19" s="71">
        <f>L19/I19</f>
        <v>8965</v>
      </c>
      <c r="L19" s="72">
        <f>sum(K5:K17)</f>
        <v>44825</v>
      </c>
    </row>
    <row r="23">
      <c r="B23" s="1" t="s">
        <v>75</v>
      </c>
      <c r="C23" s="2"/>
      <c r="D23" s="2"/>
      <c r="E23" s="2"/>
      <c r="F23" s="2"/>
      <c r="G23" s="2"/>
      <c r="H23" s="2"/>
      <c r="I23" s="2"/>
      <c r="J23" s="2"/>
      <c r="K23" s="2"/>
      <c r="L23" s="5"/>
    </row>
    <row r="24">
      <c r="E24" s="3" t="s">
        <v>76</v>
      </c>
      <c r="F24" s="4"/>
      <c r="G24" s="4"/>
      <c r="H24" s="3"/>
      <c r="I24" s="3" t="s">
        <v>77</v>
      </c>
      <c r="J24" s="4"/>
      <c r="K24" s="4"/>
    </row>
    <row r="25">
      <c r="B25" s="3" t="s">
        <v>30</v>
      </c>
      <c r="C25" s="11">
        <f>K34</f>
        <v>3375</v>
      </c>
      <c r="E25" s="6" t="s">
        <v>78</v>
      </c>
      <c r="F25" s="6" t="s">
        <v>79</v>
      </c>
      <c r="G25" s="6" t="s">
        <v>37</v>
      </c>
      <c r="H25" s="6" t="s">
        <v>80</v>
      </c>
      <c r="I25" s="6" t="s">
        <v>78</v>
      </c>
      <c r="J25" s="6" t="s">
        <v>79</v>
      </c>
      <c r="K25" s="6" t="s">
        <v>81</v>
      </c>
    </row>
    <row r="26">
      <c r="B26" s="73" t="s">
        <v>32</v>
      </c>
      <c r="C26" s="74">
        <v>1150.0</v>
      </c>
      <c r="E26" s="75" t="s">
        <v>82</v>
      </c>
      <c r="F26" s="75">
        <v>4.0</v>
      </c>
      <c r="G26" s="76">
        <v>50.0</v>
      </c>
      <c r="H26" s="76">
        <f t="shared" ref="H26:H29" si="2">F26*G26</f>
        <v>200</v>
      </c>
      <c r="I26" s="75" t="s">
        <v>83</v>
      </c>
      <c r="J26" s="75">
        <v>4.0</v>
      </c>
      <c r="K26" s="76">
        <v>650.0</v>
      </c>
    </row>
    <row r="27">
      <c r="B27" s="3" t="s">
        <v>84</v>
      </c>
      <c r="C27" s="74">
        <v>1020.0</v>
      </c>
      <c r="E27" s="75" t="s">
        <v>85</v>
      </c>
      <c r="F27" s="75">
        <v>4.0</v>
      </c>
      <c r="G27" s="76">
        <v>70.0</v>
      </c>
      <c r="H27" s="76">
        <f t="shared" si="2"/>
        <v>280</v>
      </c>
      <c r="I27" s="75" t="s">
        <v>86</v>
      </c>
      <c r="J27" s="75">
        <v>4.0</v>
      </c>
      <c r="K27" s="76">
        <v>650.0</v>
      </c>
    </row>
    <row r="28">
      <c r="B28" s="3" t="s">
        <v>87</v>
      </c>
      <c r="C28" s="74">
        <v>700.0</v>
      </c>
      <c r="E28" s="75" t="s">
        <v>88</v>
      </c>
      <c r="F28" s="75">
        <v>6.0</v>
      </c>
      <c r="G28" s="76">
        <v>50.0</v>
      </c>
      <c r="H28" s="76">
        <f t="shared" si="2"/>
        <v>300</v>
      </c>
      <c r="I28" s="75" t="s">
        <v>89</v>
      </c>
      <c r="J28" s="75">
        <v>6.0</v>
      </c>
      <c r="K28" s="76">
        <v>775.0</v>
      </c>
    </row>
    <row r="29">
      <c r="B29" s="3" t="s">
        <v>65</v>
      </c>
      <c r="C29" s="31">
        <f>C25-sum(C26:C28)</f>
        <v>505</v>
      </c>
      <c r="E29" s="75" t="s">
        <v>90</v>
      </c>
      <c r="F29" s="75">
        <v>8.0</v>
      </c>
      <c r="G29" s="76">
        <v>30.0</v>
      </c>
      <c r="H29" s="76">
        <f t="shared" si="2"/>
        <v>240</v>
      </c>
      <c r="I29" s="75" t="s">
        <v>91</v>
      </c>
      <c r="J29" s="75">
        <v>4.0</v>
      </c>
      <c r="K29" s="76">
        <v>650.0</v>
      </c>
    </row>
    <row r="30">
      <c r="B30" s="3" t="s">
        <v>53</v>
      </c>
      <c r="C30" s="36">
        <f>C29/C25</f>
        <v>0.1496296296</v>
      </c>
      <c r="E30" s="77"/>
      <c r="F30" s="77"/>
      <c r="G30" s="76"/>
      <c r="H30" s="77"/>
      <c r="I30" s="75" t="s">
        <v>92</v>
      </c>
      <c r="J30" s="75">
        <v>4.0</v>
      </c>
      <c r="K30" s="76">
        <v>650.0</v>
      </c>
    </row>
    <row r="31">
      <c r="E31" s="77"/>
      <c r="F31" s="77"/>
      <c r="G31" s="76"/>
      <c r="H31" s="77"/>
      <c r="I31" s="77"/>
      <c r="J31" s="77"/>
      <c r="K31" s="76"/>
    </row>
    <row r="32">
      <c r="E32" s="77"/>
      <c r="F32" s="77"/>
      <c r="G32" s="77"/>
      <c r="H32" s="77"/>
      <c r="I32" s="77"/>
      <c r="J32" s="77"/>
      <c r="K32" s="76"/>
    </row>
    <row r="33">
      <c r="A33" s="55"/>
      <c r="D33" s="55"/>
      <c r="E33" s="78" t="s">
        <v>68</v>
      </c>
      <c r="F33" s="78" t="s">
        <v>29</v>
      </c>
      <c r="G33" s="78" t="s">
        <v>24</v>
      </c>
      <c r="H33" s="78" t="s">
        <v>71</v>
      </c>
      <c r="I33" s="78" t="s">
        <v>93</v>
      </c>
      <c r="J33" s="78" t="s">
        <v>74</v>
      </c>
      <c r="K33" s="78" t="s">
        <v>30</v>
      </c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</row>
    <row r="34">
      <c r="E34" s="79">
        <f>average(C28/I34)</f>
        <v>140</v>
      </c>
      <c r="F34" s="80">
        <f>SUM(J26:J32)</f>
        <v>22</v>
      </c>
      <c r="G34" s="79">
        <f>sum(H26:H32)</f>
        <v>1020</v>
      </c>
      <c r="H34" s="79">
        <f>G34/I34</f>
        <v>204</v>
      </c>
      <c r="I34" s="81">
        <v>5.0</v>
      </c>
      <c r="J34" s="79">
        <f>K34/I34</f>
        <v>675</v>
      </c>
      <c r="K34" s="79">
        <f>sum(K26:K32)</f>
        <v>3375</v>
      </c>
    </row>
    <row r="36">
      <c r="E36" s="8"/>
    </row>
    <row r="38">
      <c r="B38" s="1" t="s">
        <v>94</v>
      </c>
      <c r="C38" s="2"/>
      <c r="D38" s="2"/>
      <c r="E38" s="2"/>
      <c r="F38" s="2"/>
      <c r="G38" s="2"/>
      <c r="H38" s="2"/>
      <c r="I38" s="2"/>
      <c r="J38" s="2"/>
      <c r="K38" s="2"/>
      <c r="L38" s="5"/>
    </row>
    <row r="39">
      <c r="E39" s="3" t="s">
        <v>76</v>
      </c>
      <c r="F39" s="4"/>
      <c r="G39" s="4"/>
      <c r="H39" s="3"/>
      <c r="I39" s="3" t="s">
        <v>77</v>
      </c>
      <c r="J39" s="4"/>
      <c r="K39" s="4"/>
    </row>
    <row r="40">
      <c r="B40" s="3" t="s">
        <v>30</v>
      </c>
      <c r="C40" s="11">
        <f>K49</f>
        <v>3375</v>
      </c>
      <c r="E40" s="6" t="s">
        <v>78</v>
      </c>
      <c r="F40" s="6" t="s">
        <v>79</v>
      </c>
      <c r="G40" s="6" t="s">
        <v>37</v>
      </c>
      <c r="H40" s="6" t="s">
        <v>80</v>
      </c>
      <c r="I40" s="6" t="s">
        <v>78</v>
      </c>
      <c r="J40" s="6" t="s">
        <v>79</v>
      </c>
      <c r="K40" s="6" t="s">
        <v>81</v>
      </c>
    </row>
    <row r="41">
      <c r="B41" s="3" t="s">
        <v>32</v>
      </c>
      <c r="C41" s="74">
        <v>1150.0</v>
      </c>
      <c r="E41" s="75" t="s">
        <v>82</v>
      </c>
      <c r="F41" s="75">
        <v>4.0</v>
      </c>
      <c r="G41" s="76">
        <v>50.0</v>
      </c>
      <c r="H41" s="76">
        <f t="shared" ref="H41:H44" si="3">F41*G41</f>
        <v>200</v>
      </c>
      <c r="I41" s="75" t="s">
        <v>83</v>
      </c>
      <c r="J41" s="75">
        <v>4.0</v>
      </c>
      <c r="K41" s="76">
        <v>650.0</v>
      </c>
    </row>
    <row r="42">
      <c r="B42" s="3" t="s">
        <v>84</v>
      </c>
      <c r="C42" s="74">
        <v>1050.0</v>
      </c>
      <c r="E42" s="75" t="s">
        <v>85</v>
      </c>
      <c r="F42" s="75">
        <v>4.0</v>
      </c>
      <c r="G42" s="76">
        <v>70.0</v>
      </c>
      <c r="H42" s="76">
        <f t="shared" si="3"/>
        <v>280</v>
      </c>
      <c r="I42" s="75" t="s">
        <v>86</v>
      </c>
      <c r="J42" s="75">
        <v>4.0</v>
      </c>
      <c r="K42" s="76">
        <v>650.0</v>
      </c>
    </row>
    <row r="43">
      <c r="B43" s="3" t="s">
        <v>87</v>
      </c>
      <c r="C43" s="74">
        <v>750.0</v>
      </c>
      <c r="E43" s="75" t="s">
        <v>88</v>
      </c>
      <c r="F43" s="75">
        <v>6.0</v>
      </c>
      <c r="G43" s="76">
        <v>50.0</v>
      </c>
      <c r="H43" s="76">
        <f t="shared" si="3"/>
        <v>300</v>
      </c>
      <c r="I43" s="75" t="s">
        <v>89</v>
      </c>
      <c r="J43" s="75">
        <v>6.0</v>
      </c>
      <c r="K43" s="76">
        <v>775.0</v>
      </c>
    </row>
    <row r="44">
      <c r="B44" s="3" t="s">
        <v>65</v>
      </c>
      <c r="C44" s="31">
        <f>C40-sum(C41:C43)</f>
        <v>425</v>
      </c>
      <c r="E44" s="75" t="s">
        <v>90</v>
      </c>
      <c r="F44" s="75">
        <v>8.0</v>
      </c>
      <c r="G44" s="76">
        <v>30.0</v>
      </c>
      <c r="H44" s="76">
        <f t="shared" si="3"/>
        <v>240</v>
      </c>
      <c r="I44" s="75" t="s">
        <v>91</v>
      </c>
      <c r="J44" s="75">
        <v>4.0</v>
      </c>
      <c r="K44" s="76">
        <v>650.0</v>
      </c>
    </row>
    <row r="45">
      <c r="B45" s="3" t="s">
        <v>53</v>
      </c>
      <c r="C45" s="36">
        <f>C44/C40</f>
        <v>0.1259259259</v>
      </c>
      <c r="E45" s="77"/>
      <c r="F45" s="77"/>
      <c r="G45" s="76"/>
      <c r="H45" s="77"/>
      <c r="I45" s="75" t="s">
        <v>92</v>
      </c>
      <c r="J45" s="75">
        <v>4.0</v>
      </c>
      <c r="K45" s="76">
        <v>650.0</v>
      </c>
    </row>
    <row r="46">
      <c r="E46" s="77"/>
      <c r="F46" s="77"/>
      <c r="G46" s="76"/>
      <c r="H46" s="77"/>
      <c r="I46" s="77"/>
      <c r="J46" s="77"/>
      <c r="K46" s="76"/>
    </row>
    <row r="47">
      <c r="E47" s="77"/>
      <c r="F47" s="77"/>
      <c r="G47" s="77"/>
      <c r="H47" s="77"/>
      <c r="I47" s="77"/>
      <c r="J47" s="77"/>
      <c r="K47" s="76"/>
    </row>
    <row r="48">
      <c r="D48" s="55"/>
      <c r="E48" s="78" t="s">
        <v>68</v>
      </c>
      <c r="F48" s="78" t="s">
        <v>29</v>
      </c>
      <c r="G48" s="78" t="s">
        <v>24</v>
      </c>
      <c r="H48" s="78" t="s">
        <v>71</v>
      </c>
      <c r="I48" s="78" t="s">
        <v>93</v>
      </c>
      <c r="J48" s="78" t="s">
        <v>74</v>
      </c>
      <c r="K48" s="78" t="s">
        <v>30</v>
      </c>
      <c r="L48" s="55"/>
    </row>
    <row r="49">
      <c r="E49" s="79">
        <f>average(C42/I49)</f>
        <v>210</v>
      </c>
      <c r="F49" s="80">
        <f>SUM(J41:J47)</f>
        <v>22</v>
      </c>
      <c r="G49" s="79">
        <f>sum(H41:H47)</f>
        <v>1020</v>
      </c>
      <c r="H49" s="79">
        <f>G49/I49</f>
        <v>204</v>
      </c>
      <c r="I49" s="81">
        <v>5.0</v>
      </c>
      <c r="J49" s="79">
        <f>K49/I49</f>
        <v>675</v>
      </c>
      <c r="K49" s="79">
        <f>sum(K41:K47)</f>
        <v>3375</v>
      </c>
    </row>
    <row r="52">
      <c r="B52" s="1" t="s">
        <v>95</v>
      </c>
      <c r="C52" s="2"/>
      <c r="D52" s="2"/>
      <c r="E52" s="2"/>
      <c r="F52" s="2"/>
      <c r="G52" s="2"/>
      <c r="H52" s="2"/>
      <c r="I52" s="2"/>
      <c r="J52" s="2"/>
      <c r="K52" s="2"/>
      <c r="L52" s="5"/>
    </row>
    <row r="53">
      <c r="E53" s="3" t="s">
        <v>76</v>
      </c>
      <c r="F53" s="4"/>
      <c r="G53" s="4"/>
      <c r="H53" s="3"/>
      <c r="I53" s="3" t="s">
        <v>77</v>
      </c>
      <c r="J53" s="4"/>
      <c r="K53" s="4"/>
    </row>
    <row r="54">
      <c r="B54" s="3" t="s">
        <v>30</v>
      </c>
      <c r="C54" s="11">
        <f>K63</f>
        <v>3375</v>
      </c>
      <c r="E54" s="6" t="s">
        <v>78</v>
      </c>
      <c r="F54" s="6" t="s">
        <v>79</v>
      </c>
      <c r="G54" s="6" t="s">
        <v>37</v>
      </c>
      <c r="H54" s="6" t="s">
        <v>80</v>
      </c>
      <c r="I54" s="6" t="s">
        <v>78</v>
      </c>
      <c r="J54" s="6" t="s">
        <v>79</v>
      </c>
      <c r="K54" s="6" t="s">
        <v>81</v>
      </c>
    </row>
    <row r="55">
      <c r="B55" s="3" t="s">
        <v>32</v>
      </c>
      <c r="C55" s="74">
        <v>1150.0</v>
      </c>
      <c r="E55" s="75" t="s">
        <v>82</v>
      </c>
      <c r="F55" s="75">
        <v>4.0</v>
      </c>
      <c r="G55" s="76">
        <v>50.0</v>
      </c>
      <c r="H55" s="76">
        <f t="shared" ref="H55:H58" si="4">F55*G55</f>
        <v>200</v>
      </c>
      <c r="I55" s="75" t="s">
        <v>83</v>
      </c>
      <c r="J55" s="75">
        <v>4.0</v>
      </c>
      <c r="K55" s="76">
        <v>650.0</v>
      </c>
    </row>
    <row r="56">
      <c r="B56" s="3" t="s">
        <v>84</v>
      </c>
      <c r="C56" s="74">
        <v>1050.0</v>
      </c>
      <c r="E56" s="75" t="s">
        <v>85</v>
      </c>
      <c r="F56" s="75">
        <v>4.0</v>
      </c>
      <c r="G56" s="76">
        <v>70.0</v>
      </c>
      <c r="H56" s="76">
        <f t="shared" si="4"/>
        <v>280</v>
      </c>
      <c r="I56" s="75" t="s">
        <v>86</v>
      </c>
      <c r="J56" s="75">
        <v>4.0</v>
      </c>
      <c r="K56" s="76">
        <v>650.0</v>
      </c>
    </row>
    <row r="57">
      <c r="B57" s="3" t="s">
        <v>87</v>
      </c>
      <c r="C57" s="74">
        <v>850.0</v>
      </c>
      <c r="E57" s="75" t="s">
        <v>88</v>
      </c>
      <c r="F57" s="75">
        <v>6.0</v>
      </c>
      <c r="G57" s="76">
        <v>50.0</v>
      </c>
      <c r="H57" s="76">
        <f t="shared" si="4"/>
        <v>300</v>
      </c>
      <c r="I57" s="75" t="s">
        <v>89</v>
      </c>
      <c r="J57" s="75">
        <v>6.0</v>
      </c>
      <c r="K57" s="76">
        <v>775.0</v>
      </c>
    </row>
    <row r="58">
      <c r="B58" s="3" t="s">
        <v>65</v>
      </c>
      <c r="C58" s="31">
        <f>C54-sum(C55:C57)</f>
        <v>325</v>
      </c>
      <c r="E58" s="75" t="s">
        <v>90</v>
      </c>
      <c r="F58" s="75">
        <v>8.0</v>
      </c>
      <c r="G58" s="76">
        <v>30.0</v>
      </c>
      <c r="H58" s="76">
        <f t="shared" si="4"/>
        <v>240</v>
      </c>
      <c r="I58" s="75" t="s">
        <v>91</v>
      </c>
      <c r="J58" s="75">
        <v>4.0</v>
      </c>
      <c r="K58" s="76">
        <v>650.0</v>
      </c>
    </row>
    <row r="59">
      <c r="B59" s="3" t="s">
        <v>53</v>
      </c>
      <c r="C59" s="36">
        <f>C58/C54</f>
        <v>0.0962962963</v>
      </c>
      <c r="E59" s="77"/>
      <c r="F59" s="77"/>
      <c r="G59" s="76"/>
      <c r="H59" s="77"/>
      <c r="I59" s="75" t="s">
        <v>92</v>
      </c>
      <c r="J59" s="75">
        <v>4.0</v>
      </c>
      <c r="K59" s="76">
        <v>650.0</v>
      </c>
    </row>
    <row r="60">
      <c r="E60" s="77"/>
      <c r="F60" s="77"/>
      <c r="G60" s="76"/>
      <c r="H60" s="77"/>
      <c r="I60" s="77"/>
      <c r="J60" s="77"/>
      <c r="K60" s="76"/>
    </row>
    <row r="61">
      <c r="E61" s="77"/>
      <c r="F61" s="77"/>
      <c r="G61" s="77"/>
      <c r="H61" s="77"/>
      <c r="I61" s="77"/>
      <c r="J61" s="77"/>
      <c r="K61" s="76"/>
    </row>
    <row r="62">
      <c r="D62" s="55"/>
      <c r="E62" s="78" t="s">
        <v>68</v>
      </c>
      <c r="F62" s="78" t="s">
        <v>29</v>
      </c>
      <c r="G62" s="78" t="s">
        <v>24</v>
      </c>
      <c r="H62" s="78" t="s">
        <v>71</v>
      </c>
      <c r="I62" s="78" t="s">
        <v>93</v>
      </c>
      <c r="J62" s="78" t="s">
        <v>74</v>
      </c>
      <c r="K62" s="78" t="s">
        <v>30</v>
      </c>
      <c r="L62" s="55"/>
    </row>
    <row r="63">
      <c r="E63" s="79">
        <f>average(C56/I63)</f>
        <v>210</v>
      </c>
      <c r="F63" s="80">
        <f>SUM(J55:J61)</f>
        <v>22</v>
      </c>
      <c r="G63" s="79">
        <f>sum(H55:H61)</f>
        <v>1020</v>
      </c>
      <c r="H63" s="79">
        <f>G63/I63</f>
        <v>204</v>
      </c>
      <c r="I63" s="81">
        <v>5.0</v>
      </c>
      <c r="J63" s="79">
        <f>K63/I63</f>
        <v>675</v>
      </c>
      <c r="K63" s="79">
        <f>sum(K55:K61)</f>
        <v>3375</v>
      </c>
    </row>
    <row r="66">
      <c r="B66" s="1" t="s">
        <v>96</v>
      </c>
      <c r="C66" s="2"/>
      <c r="D66" s="2"/>
      <c r="E66" s="2"/>
      <c r="F66" s="2"/>
      <c r="G66" s="2"/>
      <c r="H66" s="2"/>
      <c r="I66" s="2"/>
      <c r="J66" s="2"/>
      <c r="K66" s="2"/>
      <c r="L66" s="5"/>
    </row>
    <row r="67">
      <c r="E67" s="3" t="s">
        <v>76</v>
      </c>
      <c r="F67" s="4"/>
      <c r="G67" s="4"/>
      <c r="H67" s="3"/>
      <c r="I67" s="3" t="s">
        <v>77</v>
      </c>
      <c r="J67" s="4"/>
      <c r="K67" s="4"/>
    </row>
    <row r="68">
      <c r="B68" s="3" t="s">
        <v>30</v>
      </c>
      <c r="C68" s="82">
        <f>K77</f>
        <v>3375</v>
      </c>
      <c r="E68" s="6" t="s">
        <v>78</v>
      </c>
      <c r="F68" s="6" t="s">
        <v>79</v>
      </c>
      <c r="G68" s="6" t="s">
        <v>37</v>
      </c>
      <c r="H68" s="6" t="s">
        <v>80</v>
      </c>
      <c r="I68" s="6" t="s">
        <v>78</v>
      </c>
      <c r="J68" s="6" t="s">
        <v>79</v>
      </c>
      <c r="K68" s="6" t="s">
        <v>81</v>
      </c>
    </row>
    <row r="69">
      <c r="B69" s="3" t="s">
        <v>32</v>
      </c>
      <c r="C69" s="83">
        <v>1150.0</v>
      </c>
      <c r="E69" s="75" t="s">
        <v>82</v>
      </c>
      <c r="F69" s="75">
        <v>4.0</v>
      </c>
      <c r="G69" s="76">
        <v>50.0</v>
      </c>
      <c r="H69" s="76">
        <f t="shared" ref="H69:H72" si="5">F69*G69</f>
        <v>200</v>
      </c>
      <c r="I69" s="75" t="s">
        <v>83</v>
      </c>
      <c r="J69" s="75">
        <v>4.0</v>
      </c>
      <c r="K69" s="76">
        <v>650.0</v>
      </c>
      <c r="M69" s="9">
        <f>sum(F69:F75)</f>
        <v>22</v>
      </c>
    </row>
    <row r="70">
      <c r="B70" s="3" t="s">
        <v>84</v>
      </c>
      <c r="C70" s="84">
        <v>1200.0</v>
      </c>
      <c r="E70" s="75" t="s">
        <v>85</v>
      </c>
      <c r="F70" s="75">
        <v>4.0</v>
      </c>
      <c r="G70" s="76">
        <v>70.0</v>
      </c>
      <c r="H70" s="76">
        <f t="shared" si="5"/>
        <v>280</v>
      </c>
      <c r="I70" s="75" t="s">
        <v>86</v>
      </c>
      <c r="J70" s="75">
        <v>4.0</v>
      </c>
      <c r="K70" s="76">
        <v>650.0</v>
      </c>
    </row>
    <row r="71">
      <c r="B71" s="3" t="s">
        <v>87</v>
      </c>
      <c r="C71" s="84">
        <v>1200.0</v>
      </c>
      <c r="E71" s="75" t="s">
        <v>88</v>
      </c>
      <c r="F71" s="75">
        <v>6.0</v>
      </c>
      <c r="G71" s="76">
        <v>50.0</v>
      </c>
      <c r="H71" s="76">
        <f t="shared" si="5"/>
        <v>300</v>
      </c>
      <c r="I71" s="75" t="s">
        <v>89</v>
      </c>
      <c r="J71" s="75">
        <v>6.0</v>
      </c>
      <c r="K71" s="76">
        <v>775.0</v>
      </c>
    </row>
    <row r="72">
      <c r="B72" s="3" t="s">
        <v>65</v>
      </c>
      <c r="C72" s="85">
        <f>C68-sum(C69:C71)</f>
        <v>-175</v>
      </c>
      <c r="E72" s="75" t="s">
        <v>90</v>
      </c>
      <c r="F72" s="75">
        <v>8.0</v>
      </c>
      <c r="G72" s="76">
        <v>30.0</v>
      </c>
      <c r="H72" s="76">
        <f t="shared" si="5"/>
        <v>240</v>
      </c>
      <c r="I72" s="75" t="s">
        <v>91</v>
      </c>
      <c r="J72" s="75">
        <v>4.0</v>
      </c>
      <c r="K72" s="76">
        <v>650.0</v>
      </c>
    </row>
    <row r="73">
      <c r="B73" s="3" t="s">
        <v>53</v>
      </c>
      <c r="C73" s="86">
        <f>C72/C68</f>
        <v>-0.05185185185</v>
      </c>
      <c r="E73" s="77"/>
      <c r="F73" s="77"/>
      <c r="G73" s="76"/>
      <c r="H73" s="77"/>
      <c r="I73" s="75" t="s">
        <v>92</v>
      </c>
      <c r="J73" s="75">
        <v>4.0</v>
      </c>
      <c r="K73" s="76">
        <v>650.0</v>
      </c>
    </row>
    <row r="74">
      <c r="E74" s="77"/>
      <c r="F74" s="77"/>
      <c r="G74" s="76"/>
      <c r="H74" s="77"/>
      <c r="I74" s="77"/>
      <c r="J74" s="77"/>
      <c r="K74" s="76"/>
    </row>
    <row r="75">
      <c r="E75" s="77"/>
      <c r="F75" s="77"/>
      <c r="G75" s="77"/>
      <c r="H75" s="77"/>
      <c r="I75" s="77"/>
      <c r="J75" s="77"/>
      <c r="K75" s="76"/>
    </row>
    <row r="76">
      <c r="D76" s="55"/>
      <c r="E76" s="78" t="s">
        <v>68</v>
      </c>
      <c r="F76" s="78" t="s">
        <v>29</v>
      </c>
      <c r="G76" s="78" t="s">
        <v>24</v>
      </c>
      <c r="H76" s="78" t="s">
        <v>71</v>
      </c>
      <c r="I76" s="78" t="s">
        <v>93</v>
      </c>
      <c r="J76" s="78" t="s">
        <v>74</v>
      </c>
      <c r="K76" s="78" t="s">
        <v>30</v>
      </c>
      <c r="L76" s="55"/>
    </row>
    <row r="77">
      <c r="E77" s="79">
        <f>average(C70/I77)</f>
        <v>240</v>
      </c>
      <c r="F77" s="80">
        <f>SUM(J69:J75)</f>
        <v>22</v>
      </c>
      <c r="G77" s="79">
        <f>sum(H69:H75)</f>
        <v>1020</v>
      </c>
      <c r="H77" s="79">
        <f>G77/I77</f>
        <v>204</v>
      </c>
      <c r="I77" s="81">
        <v>5.0</v>
      </c>
      <c r="J77" s="79">
        <f>K77/I77</f>
        <v>675</v>
      </c>
      <c r="K77" s="79">
        <f>sum(K69:K75)</f>
        <v>3375</v>
      </c>
    </row>
    <row r="80">
      <c r="B80" s="1" t="s">
        <v>54</v>
      </c>
      <c r="C80" s="2"/>
      <c r="D80" s="2"/>
      <c r="E80" s="2"/>
      <c r="F80" s="2"/>
      <c r="G80" s="2"/>
      <c r="H80" s="2"/>
      <c r="I80" s="2"/>
      <c r="J80" s="2"/>
      <c r="K80" s="2"/>
      <c r="L80" s="5"/>
    </row>
    <row r="81">
      <c r="E81" s="3" t="s">
        <v>76</v>
      </c>
      <c r="F81" s="4"/>
      <c r="G81" s="4"/>
      <c r="H81" s="3"/>
      <c r="I81" s="3" t="s">
        <v>77</v>
      </c>
      <c r="J81" s="4"/>
      <c r="K81" s="4"/>
    </row>
    <row r="82">
      <c r="B82" s="3" t="s">
        <v>30</v>
      </c>
      <c r="C82" s="82">
        <f>K91</f>
        <v>3375</v>
      </c>
      <c r="E82" s="6" t="s">
        <v>78</v>
      </c>
      <c r="F82" s="6" t="s">
        <v>79</v>
      </c>
      <c r="G82" s="6" t="s">
        <v>37</v>
      </c>
      <c r="H82" s="6" t="s">
        <v>80</v>
      </c>
      <c r="I82" s="6" t="s">
        <v>78</v>
      </c>
      <c r="J82" s="6" t="s">
        <v>79</v>
      </c>
      <c r="K82" s="6" t="s">
        <v>81</v>
      </c>
    </row>
    <row r="83">
      <c r="B83" s="3" t="s">
        <v>32</v>
      </c>
      <c r="C83" s="83">
        <v>1150.0</v>
      </c>
      <c r="E83" s="75" t="s">
        <v>82</v>
      </c>
      <c r="F83" s="75">
        <v>4.0</v>
      </c>
      <c r="G83" s="76">
        <v>50.0</v>
      </c>
      <c r="H83" s="76">
        <f t="shared" ref="H83:H86" si="6">F83*G83</f>
        <v>200</v>
      </c>
      <c r="I83" s="75" t="s">
        <v>83</v>
      </c>
      <c r="J83" s="75">
        <v>4.0</v>
      </c>
      <c r="K83" s="76">
        <v>650.0</v>
      </c>
    </row>
    <row r="84">
      <c r="B84" s="3" t="s">
        <v>84</v>
      </c>
      <c r="C84" s="84">
        <v>1100.0</v>
      </c>
      <c r="E84" s="75" t="s">
        <v>85</v>
      </c>
      <c r="F84" s="75">
        <v>4.0</v>
      </c>
      <c r="G84" s="76">
        <v>70.0</v>
      </c>
      <c r="H84" s="76">
        <f t="shared" si="6"/>
        <v>280</v>
      </c>
      <c r="I84" s="75" t="s">
        <v>86</v>
      </c>
      <c r="J84" s="75">
        <v>4.0</v>
      </c>
      <c r="K84" s="76">
        <v>650.0</v>
      </c>
    </row>
    <row r="85">
      <c r="B85" s="3" t="s">
        <v>87</v>
      </c>
      <c r="C85" s="84">
        <v>800.0</v>
      </c>
      <c r="E85" s="75" t="s">
        <v>88</v>
      </c>
      <c r="F85" s="75">
        <v>6.0</v>
      </c>
      <c r="G85" s="76">
        <v>50.0</v>
      </c>
      <c r="H85" s="76">
        <f t="shared" si="6"/>
        <v>300</v>
      </c>
      <c r="I85" s="75" t="s">
        <v>89</v>
      </c>
      <c r="J85" s="75">
        <v>6.0</v>
      </c>
      <c r="K85" s="76">
        <v>775.0</v>
      </c>
    </row>
    <row r="86">
      <c r="B86" s="3" t="s">
        <v>65</v>
      </c>
      <c r="C86" s="85">
        <f>C82-sum(C83:C85)</f>
        <v>325</v>
      </c>
      <c r="E86" s="75" t="s">
        <v>90</v>
      </c>
      <c r="F86" s="75">
        <v>8.0</v>
      </c>
      <c r="G86" s="76">
        <v>30.0</v>
      </c>
      <c r="H86" s="76">
        <f t="shared" si="6"/>
        <v>240</v>
      </c>
      <c r="I86" s="75" t="s">
        <v>91</v>
      </c>
      <c r="J86" s="75">
        <v>4.0</v>
      </c>
      <c r="K86" s="76">
        <v>650.0</v>
      </c>
    </row>
    <row r="87">
      <c r="B87" s="3" t="s">
        <v>53</v>
      </c>
      <c r="C87" s="86">
        <f>C86/C82</f>
        <v>0.0962962963</v>
      </c>
      <c r="E87" s="77"/>
      <c r="F87" s="77"/>
      <c r="G87" s="76"/>
      <c r="H87" s="77"/>
      <c r="I87" s="75" t="s">
        <v>92</v>
      </c>
      <c r="J87" s="75">
        <v>4.0</v>
      </c>
      <c r="K87" s="76">
        <v>650.0</v>
      </c>
    </row>
    <row r="88">
      <c r="E88" s="77"/>
      <c r="F88" s="77"/>
      <c r="G88" s="76"/>
      <c r="H88" s="77"/>
      <c r="I88" s="77"/>
      <c r="J88" s="77"/>
      <c r="K88" s="76"/>
    </row>
    <row r="89">
      <c r="E89" s="77"/>
      <c r="F89" s="77"/>
      <c r="G89" s="77"/>
      <c r="H89" s="77"/>
      <c r="I89" s="77"/>
      <c r="J89" s="77"/>
      <c r="K89" s="76"/>
    </row>
    <row r="90">
      <c r="D90" s="55"/>
      <c r="E90" s="78" t="s">
        <v>68</v>
      </c>
      <c r="F90" s="78" t="s">
        <v>29</v>
      </c>
      <c r="G90" s="78" t="s">
        <v>24</v>
      </c>
      <c r="H90" s="78" t="s">
        <v>71</v>
      </c>
      <c r="I90" s="78" t="s">
        <v>93</v>
      </c>
      <c r="J90" s="78" t="s">
        <v>74</v>
      </c>
      <c r="K90" s="78" t="s">
        <v>30</v>
      </c>
      <c r="L90" s="55"/>
    </row>
    <row r="91">
      <c r="E91" s="79">
        <f>average(C84/I91)</f>
        <v>220</v>
      </c>
      <c r="F91" s="80">
        <f>SUM(J83:J89)</f>
        <v>22</v>
      </c>
      <c r="G91" s="79">
        <f>sum(H83:H89)</f>
        <v>1020</v>
      </c>
      <c r="H91" s="79">
        <f>G91/I91</f>
        <v>204</v>
      </c>
      <c r="I91" s="81">
        <v>5.0</v>
      </c>
      <c r="J91" s="79">
        <f>K91/I91</f>
        <v>675</v>
      </c>
      <c r="K91" s="79">
        <f>sum(K83:K89)</f>
        <v>3375</v>
      </c>
    </row>
    <row r="94">
      <c r="B94" s="1" t="s">
        <v>56</v>
      </c>
      <c r="C94" s="2"/>
      <c r="D94" s="2"/>
      <c r="E94" s="2"/>
      <c r="F94" s="2"/>
      <c r="G94" s="2"/>
      <c r="H94" s="2"/>
      <c r="I94" s="2"/>
      <c r="J94" s="2"/>
      <c r="K94" s="2"/>
      <c r="L94" s="5"/>
    </row>
    <row r="95">
      <c r="E95" s="3" t="s">
        <v>76</v>
      </c>
      <c r="F95" s="4"/>
      <c r="G95" s="4"/>
      <c r="H95" s="3"/>
      <c r="I95" s="3" t="s">
        <v>77</v>
      </c>
      <c r="J95" s="4"/>
      <c r="K95" s="4"/>
    </row>
    <row r="96">
      <c r="B96" s="3" t="s">
        <v>30</v>
      </c>
      <c r="C96" s="82">
        <f>K105</f>
        <v>2725</v>
      </c>
      <c r="E96" s="6" t="s">
        <v>78</v>
      </c>
      <c r="F96" s="6" t="s">
        <v>79</v>
      </c>
      <c r="G96" s="6" t="s">
        <v>37</v>
      </c>
      <c r="H96" s="6" t="s">
        <v>80</v>
      </c>
      <c r="I96" s="6" t="s">
        <v>78</v>
      </c>
      <c r="J96" s="6" t="s">
        <v>79</v>
      </c>
      <c r="K96" s="6" t="s">
        <v>81</v>
      </c>
    </row>
    <row r="97">
      <c r="B97" s="3" t="s">
        <v>32</v>
      </c>
      <c r="C97" s="83">
        <v>1150.0</v>
      </c>
      <c r="E97" s="75" t="s">
        <v>82</v>
      </c>
      <c r="F97" s="75">
        <v>4.0</v>
      </c>
      <c r="G97" s="76">
        <v>50.0</v>
      </c>
      <c r="H97" s="76">
        <f t="shared" ref="H97:H100" si="7">F97*G97</f>
        <v>200</v>
      </c>
      <c r="I97" s="75" t="s">
        <v>86</v>
      </c>
      <c r="J97" s="75">
        <v>4.0</v>
      </c>
      <c r="K97" s="76">
        <v>650.0</v>
      </c>
    </row>
    <row r="98">
      <c r="B98" s="3" t="s">
        <v>84</v>
      </c>
      <c r="C98" s="84">
        <v>860.0</v>
      </c>
      <c r="E98" s="75" t="s">
        <v>85</v>
      </c>
      <c r="F98" s="75">
        <v>4.0</v>
      </c>
      <c r="G98" s="76">
        <v>70.0</v>
      </c>
      <c r="H98" s="76">
        <f t="shared" si="7"/>
        <v>280</v>
      </c>
      <c r="I98" s="75" t="s">
        <v>89</v>
      </c>
      <c r="J98" s="75">
        <v>6.0</v>
      </c>
      <c r="K98" s="76">
        <v>775.0</v>
      </c>
    </row>
    <row r="99">
      <c r="B99" s="3" t="s">
        <v>87</v>
      </c>
      <c r="C99" s="84">
        <v>650.0</v>
      </c>
      <c r="E99" s="75" t="s">
        <v>88</v>
      </c>
      <c r="F99" s="75">
        <v>4.0</v>
      </c>
      <c r="G99" s="76">
        <v>50.0</v>
      </c>
      <c r="H99" s="76">
        <f t="shared" si="7"/>
        <v>200</v>
      </c>
      <c r="I99" s="75" t="s">
        <v>91</v>
      </c>
      <c r="J99" s="75">
        <v>4.0</v>
      </c>
      <c r="K99" s="76">
        <v>650.0</v>
      </c>
    </row>
    <row r="100">
      <c r="B100" s="3" t="s">
        <v>65</v>
      </c>
      <c r="C100" s="85">
        <f>C96-sum(C97:C99)</f>
        <v>65</v>
      </c>
      <c r="E100" s="75" t="s">
        <v>90</v>
      </c>
      <c r="F100" s="75">
        <v>6.0</v>
      </c>
      <c r="G100" s="76">
        <v>30.0</v>
      </c>
      <c r="H100" s="76">
        <f t="shared" si="7"/>
        <v>180</v>
      </c>
      <c r="I100" s="75" t="s">
        <v>92</v>
      </c>
      <c r="J100" s="75">
        <v>4.0</v>
      </c>
      <c r="K100" s="76">
        <v>650.0</v>
      </c>
    </row>
    <row r="101">
      <c r="B101" s="3" t="s">
        <v>53</v>
      </c>
      <c r="C101" s="86">
        <f>C100/C96</f>
        <v>0.02385321101</v>
      </c>
      <c r="E101" s="77"/>
      <c r="F101" s="77"/>
      <c r="G101" s="76"/>
      <c r="H101" s="77"/>
      <c r="I101" s="75"/>
      <c r="J101" s="77"/>
      <c r="K101" s="76"/>
    </row>
    <row r="102">
      <c r="E102" s="77"/>
      <c r="F102" s="77"/>
      <c r="G102" s="76"/>
      <c r="H102" s="77"/>
      <c r="I102" s="77"/>
      <c r="J102" s="77"/>
      <c r="K102" s="76"/>
    </row>
    <row r="103">
      <c r="E103" s="77"/>
      <c r="F103" s="77"/>
      <c r="G103" s="77"/>
      <c r="H103" s="77"/>
      <c r="I103" s="77"/>
      <c r="J103" s="77"/>
      <c r="K103" s="76"/>
    </row>
    <row r="104">
      <c r="D104" s="55"/>
      <c r="E104" s="78" t="s">
        <v>68</v>
      </c>
      <c r="F104" s="78" t="s">
        <v>29</v>
      </c>
      <c r="G104" s="78" t="s">
        <v>24</v>
      </c>
      <c r="H104" s="78" t="s">
        <v>71</v>
      </c>
      <c r="I104" s="78" t="s">
        <v>93</v>
      </c>
      <c r="J104" s="78" t="s">
        <v>74</v>
      </c>
      <c r="K104" s="78" t="s">
        <v>30</v>
      </c>
      <c r="L104" s="55"/>
    </row>
    <row r="105">
      <c r="E105" s="79">
        <f>average(C98/I105)</f>
        <v>172</v>
      </c>
      <c r="F105" s="80">
        <f>SUM(J97:J103)</f>
        <v>18</v>
      </c>
      <c r="G105" s="79">
        <f>sum(H97:H103)</f>
        <v>860</v>
      </c>
      <c r="H105" s="79">
        <f>G105/I105</f>
        <v>172</v>
      </c>
      <c r="I105" s="81">
        <v>5.0</v>
      </c>
      <c r="J105" s="79">
        <f>K105/I105</f>
        <v>545</v>
      </c>
      <c r="K105" s="79">
        <f>sum(K97:K103)</f>
        <v>2725</v>
      </c>
    </row>
    <row r="108">
      <c r="B108" s="1" t="s">
        <v>58</v>
      </c>
      <c r="C108" s="2"/>
      <c r="D108" s="2"/>
      <c r="E108" s="2"/>
      <c r="F108" s="2"/>
      <c r="G108" s="2"/>
      <c r="H108" s="2"/>
      <c r="I108" s="2"/>
      <c r="J108" s="2"/>
      <c r="K108" s="2"/>
      <c r="L108" s="5"/>
    </row>
    <row r="109">
      <c r="E109" s="3" t="s">
        <v>76</v>
      </c>
      <c r="F109" s="4"/>
      <c r="G109" s="4"/>
      <c r="H109" s="3"/>
      <c r="I109" s="3" t="s">
        <v>77</v>
      </c>
      <c r="J109" s="4"/>
      <c r="K109" s="4"/>
    </row>
    <row r="110">
      <c r="B110" s="3" t="s">
        <v>30</v>
      </c>
      <c r="C110" s="82">
        <f>K119</f>
        <v>2725</v>
      </c>
      <c r="E110" s="6" t="s">
        <v>78</v>
      </c>
      <c r="F110" s="6" t="s">
        <v>79</v>
      </c>
      <c r="G110" s="6" t="s">
        <v>37</v>
      </c>
      <c r="H110" s="6" t="s">
        <v>80</v>
      </c>
      <c r="I110" s="6" t="s">
        <v>78</v>
      </c>
      <c r="J110" s="6" t="s">
        <v>79</v>
      </c>
      <c r="K110" s="6" t="s">
        <v>81</v>
      </c>
    </row>
    <row r="111">
      <c r="B111" s="3" t="s">
        <v>32</v>
      </c>
      <c r="C111" s="83">
        <v>1150.0</v>
      </c>
      <c r="E111" s="75" t="s">
        <v>82</v>
      </c>
      <c r="F111" s="75">
        <v>4.0</v>
      </c>
      <c r="G111" s="76">
        <v>50.0</v>
      </c>
      <c r="H111" s="76">
        <f t="shared" ref="H111:H114" si="8">F111*G111</f>
        <v>200</v>
      </c>
      <c r="I111" s="75" t="s">
        <v>86</v>
      </c>
      <c r="J111" s="75">
        <v>4.0</v>
      </c>
      <c r="K111" s="76">
        <v>650.0</v>
      </c>
    </row>
    <row r="112">
      <c r="B112" s="3" t="s">
        <v>84</v>
      </c>
      <c r="C112" s="84">
        <v>1000.0</v>
      </c>
      <c r="E112" s="75" t="s">
        <v>85</v>
      </c>
      <c r="F112" s="75">
        <v>4.0</v>
      </c>
      <c r="G112" s="76">
        <v>70.0</v>
      </c>
      <c r="H112" s="76">
        <f t="shared" si="8"/>
        <v>280</v>
      </c>
      <c r="I112" s="75" t="s">
        <v>89</v>
      </c>
      <c r="J112" s="75">
        <v>6.0</v>
      </c>
      <c r="K112" s="76">
        <v>775.0</v>
      </c>
    </row>
    <row r="113">
      <c r="B113" s="3" t="s">
        <v>87</v>
      </c>
      <c r="C113" s="83">
        <v>500.0</v>
      </c>
      <c r="E113" s="75" t="s">
        <v>88</v>
      </c>
      <c r="F113" s="75">
        <v>4.0</v>
      </c>
      <c r="G113" s="76">
        <v>50.0</v>
      </c>
      <c r="H113" s="76">
        <f t="shared" si="8"/>
        <v>200</v>
      </c>
      <c r="I113" s="75" t="s">
        <v>91</v>
      </c>
      <c r="J113" s="75">
        <v>6.0</v>
      </c>
      <c r="K113" s="76">
        <v>650.0</v>
      </c>
    </row>
    <row r="114">
      <c r="B114" s="3" t="s">
        <v>65</v>
      </c>
      <c r="C114" s="85">
        <f>C110-sum(C111:C113)</f>
        <v>75</v>
      </c>
      <c r="E114" s="75" t="s">
        <v>90</v>
      </c>
      <c r="F114" s="75">
        <v>8.0</v>
      </c>
      <c r="G114" s="76">
        <v>30.0</v>
      </c>
      <c r="H114" s="76">
        <f t="shared" si="8"/>
        <v>240</v>
      </c>
      <c r="I114" s="75" t="s">
        <v>92</v>
      </c>
      <c r="J114" s="75">
        <v>4.0</v>
      </c>
      <c r="K114" s="76">
        <v>650.0</v>
      </c>
    </row>
    <row r="115">
      <c r="B115" s="3" t="s">
        <v>53</v>
      </c>
      <c r="C115" s="86">
        <f>C114/C110</f>
        <v>0.02752293578</v>
      </c>
      <c r="E115" s="77"/>
      <c r="F115" s="77"/>
      <c r="G115" s="76"/>
      <c r="H115" s="77"/>
      <c r="I115" s="75"/>
      <c r="J115" s="77"/>
      <c r="K115" s="76"/>
    </row>
    <row r="116">
      <c r="E116" s="77"/>
      <c r="F116" s="77"/>
      <c r="G116" s="76"/>
      <c r="H116" s="77"/>
      <c r="I116" s="77"/>
      <c r="J116" s="77"/>
      <c r="K116" s="76"/>
    </row>
    <row r="117">
      <c r="E117" s="77"/>
      <c r="F117" s="77"/>
      <c r="G117" s="77"/>
      <c r="H117" s="77"/>
      <c r="I117" s="77"/>
      <c r="J117" s="77"/>
      <c r="K117" s="76"/>
    </row>
    <row r="118">
      <c r="D118" s="55"/>
      <c r="E118" s="78" t="s">
        <v>68</v>
      </c>
      <c r="F118" s="78" t="s">
        <v>29</v>
      </c>
      <c r="G118" s="78" t="s">
        <v>24</v>
      </c>
      <c r="H118" s="78" t="s">
        <v>71</v>
      </c>
      <c r="I118" s="78" t="s">
        <v>93</v>
      </c>
      <c r="J118" s="78" t="s">
        <v>74</v>
      </c>
      <c r="K118" s="78" t="s">
        <v>30</v>
      </c>
      <c r="L118" s="55"/>
    </row>
    <row r="119">
      <c r="E119" s="79">
        <f>average(C112/I119)</f>
        <v>200</v>
      </c>
      <c r="F119" s="80">
        <f>SUM(J111:J117)</f>
        <v>20</v>
      </c>
      <c r="G119" s="79">
        <f>sum(H111:H117)</f>
        <v>920</v>
      </c>
      <c r="H119" s="79">
        <f>G119/I119</f>
        <v>184</v>
      </c>
      <c r="I119" s="81">
        <v>5.0</v>
      </c>
      <c r="J119" s="79">
        <f>K119/I119</f>
        <v>545</v>
      </c>
      <c r="K119" s="79">
        <f>sum(K111:K117)</f>
        <v>2725</v>
      </c>
    </row>
    <row r="122">
      <c r="B122" s="1" t="s">
        <v>97</v>
      </c>
      <c r="C122" s="2"/>
      <c r="D122" s="2"/>
      <c r="E122" s="2"/>
      <c r="F122" s="2"/>
      <c r="G122" s="2"/>
      <c r="H122" s="2"/>
      <c r="I122" s="2"/>
      <c r="J122" s="2"/>
      <c r="K122" s="2"/>
      <c r="L122" s="5"/>
    </row>
    <row r="123">
      <c r="E123" s="3" t="s">
        <v>76</v>
      </c>
      <c r="F123" s="4"/>
      <c r="G123" s="4"/>
      <c r="H123" s="3"/>
      <c r="I123" s="3" t="s">
        <v>77</v>
      </c>
      <c r="J123" s="4"/>
      <c r="K123" s="4"/>
    </row>
    <row r="124">
      <c r="B124" s="3" t="s">
        <v>30</v>
      </c>
      <c r="C124" s="82">
        <f>K133</f>
        <v>3725</v>
      </c>
      <c r="E124" s="6" t="s">
        <v>78</v>
      </c>
      <c r="F124" s="6" t="s">
        <v>79</v>
      </c>
      <c r="G124" s="6" t="s">
        <v>37</v>
      </c>
      <c r="H124" s="6" t="s">
        <v>80</v>
      </c>
      <c r="I124" s="6" t="s">
        <v>78</v>
      </c>
      <c r="J124" s="6" t="s">
        <v>79</v>
      </c>
      <c r="K124" s="6" t="s">
        <v>81</v>
      </c>
    </row>
    <row r="125">
      <c r="B125" s="3" t="s">
        <v>32</v>
      </c>
      <c r="C125" s="83">
        <v>1150.0</v>
      </c>
      <c r="E125" s="75" t="s">
        <v>82</v>
      </c>
      <c r="F125" s="75">
        <v>4.0</v>
      </c>
      <c r="G125" s="76">
        <v>50.0</v>
      </c>
      <c r="H125" s="76">
        <f t="shared" ref="H125:H128" si="9">F125*G125</f>
        <v>200</v>
      </c>
      <c r="I125" s="75" t="s">
        <v>86</v>
      </c>
      <c r="J125" s="75">
        <v>4.0</v>
      </c>
      <c r="K125" s="76">
        <v>650.0</v>
      </c>
    </row>
    <row r="126">
      <c r="B126" s="3" t="s">
        <v>84</v>
      </c>
      <c r="C126" s="84">
        <v>1300.0</v>
      </c>
      <c r="E126" s="75" t="s">
        <v>85</v>
      </c>
      <c r="F126" s="75">
        <v>8.0</v>
      </c>
      <c r="G126" s="76">
        <v>70.0</v>
      </c>
      <c r="H126" s="76">
        <f t="shared" si="9"/>
        <v>560</v>
      </c>
      <c r="I126" s="75" t="s">
        <v>89</v>
      </c>
      <c r="J126" s="75">
        <v>6.0</v>
      </c>
      <c r="K126" s="76">
        <v>775.0</v>
      </c>
    </row>
    <row r="127">
      <c r="B127" s="3" t="s">
        <v>87</v>
      </c>
      <c r="C127" s="83">
        <v>500.0</v>
      </c>
      <c r="E127" s="75" t="s">
        <v>88</v>
      </c>
      <c r="F127" s="75">
        <v>6.0</v>
      </c>
      <c r="G127" s="76">
        <v>50.0</v>
      </c>
      <c r="H127" s="76">
        <f t="shared" si="9"/>
        <v>300</v>
      </c>
      <c r="I127" s="75" t="s">
        <v>91</v>
      </c>
      <c r="J127" s="75">
        <v>4.0</v>
      </c>
      <c r="K127" s="76">
        <v>650.0</v>
      </c>
    </row>
    <row r="128">
      <c r="B128" s="3" t="s">
        <v>65</v>
      </c>
      <c r="C128" s="85">
        <f>C124-sum(C125:C127)</f>
        <v>775</v>
      </c>
      <c r="E128" s="75" t="s">
        <v>90</v>
      </c>
      <c r="F128" s="75">
        <v>8.0</v>
      </c>
      <c r="G128" s="76">
        <v>30.0</v>
      </c>
      <c r="H128" s="76">
        <f t="shared" si="9"/>
        <v>240</v>
      </c>
      <c r="I128" s="75" t="s">
        <v>92</v>
      </c>
      <c r="J128" s="75">
        <v>4.0</v>
      </c>
      <c r="K128" s="76">
        <v>650.0</v>
      </c>
    </row>
    <row r="129">
      <c r="B129" s="3" t="s">
        <v>53</v>
      </c>
      <c r="C129" s="86">
        <f>C128/C124</f>
        <v>0.2080536913</v>
      </c>
      <c r="E129" s="77"/>
      <c r="F129" s="77"/>
      <c r="G129" s="76"/>
      <c r="H129" s="77"/>
      <c r="I129" s="75" t="s">
        <v>98</v>
      </c>
      <c r="J129" s="75">
        <v>8.0</v>
      </c>
      <c r="K129" s="76">
        <v>1000.0</v>
      </c>
    </row>
    <row r="130">
      <c r="E130" s="77"/>
      <c r="F130" s="77"/>
      <c r="G130" s="76"/>
      <c r="H130" s="77"/>
      <c r="I130" s="77"/>
      <c r="J130" s="77"/>
      <c r="K130" s="76"/>
    </row>
    <row r="131">
      <c r="E131" s="77"/>
      <c r="F131" s="77"/>
      <c r="G131" s="77"/>
      <c r="H131" s="77"/>
      <c r="I131" s="77"/>
      <c r="J131" s="77"/>
      <c r="K131" s="76"/>
    </row>
    <row r="132">
      <c r="D132" s="55"/>
      <c r="E132" s="78" t="s">
        <v>68</v>
      </c>
      <c r="F132" s="78" t="s">
        <v>29</v>
      </c>
      <c r="G132" s="78" t="s">
        <v>24</v>
      </c>
      <c r="H132" s="78" t="s">
        <v>71</v>
      </c>
      <c r="I132" s="78" t="s">
        <v>93</v>
      </c>
      <c r="J132" s="78" t="s">
        <v>74</v>
      </c>
      <c r="K132" s="78" t="s">
        <v>30</v>
      </c>
      <c r="L132" s="55"/>
    </row>
    <row r="133">
      <c r="E133" s="79">
        <f>average(C126/I133)</f>
        <v>260</v>
      </c>
      <c r="F133" s="80">
        <f>SUM(J125:J131)</f>
        <v>26</v>
      </c>
      <c r="G133" s="79">
        <f>sum(H125:H131)</f>
        <v>1300</v>
      </c>
      <c r="H133" s="79">
        <f>G133/I133</f>
        <v>260</v>
      </c>
      <c r="I133" s="81">
        <v>5.0</v>
      </c>
      <c r="J133" s="79">
        <f>K133/I133</f>
        <v>745</v>
      </c>
      <c r="K133" s="79">
        <f>sum(K125:K131)</f>
        <v>3725</v>
      </c>
    </row>
    <row r="136">
      <c r="B136" s="1" t="s">
        <v>99</v>
      </c>
      <c r="C136" s="2"/>
      <c r="D136" s="2"/>
      <c r="E136" s="2"/>
      <c r="F136" s="2"/>
      <c r="G136" s="2"/>
      <c r="H136" s="2"/>
      <c r="I136" s="2"/>
      <c r="J136" s="2"/>
      <c r="K136" s="2"/>
      <c r="L136" s="5"/>
    </row>
    <row r="137">
      <c r="E137" s="3" t="s">
        <v>76</v>
      </c>
      <c r="F137" s="4"/>
      <c r="G137" s="4"/>
      <c r="H137" s="3"/>
      <c r="I137" s="3" t="s">
        <v>77</v>
      </c>
      <c r="J137" s="4"/>
      <c r="K137" s="4"/>
    </row>
    <row r="138">
      <c r="B138" s="3" t="s">
        <v>30</v>
      </c>
      <c r="C138" s="82">
        <f>K147</f>
        <v>4500</v>
      </c>
      <c r="E138" s="6" t="s">
        <v>78</v>
      </c>
      <c r="F138" s="6" t="s">
        <v>79</v>
      </c>
      <c r="G138" s="6" t="s">
        <v>37</v>
      </c>
      <c r="H138" s="6" t="s">
        <v>80</v>
      </c>
      <c r="I138" s="6" t="s">
        <v>78</v>
      </c>
      <c r="J138" s="6" t="s">
        <v>79</v>
      </c>
      <c r="K138" s="6" t="s">
        <v>81</v>
      </c>
    </row>
    <row r="139">
      <c r="B139" s="3" t="s">
        <v>32</v>
      </c>
      <c r="C139" s="83">
        <v>1150.0</v>
      </c>
      <c r="E139" s="75" t="s">
        <v>82</v>
      </c>
      <c r="F139" s="75">
        <v>4.0</v>
      </c>
      <c r="G139" s="76">
        <v>50.0</v>
      </c>
      <c r="H139" s="76">
        <f t="shared" ref="H139:H144" si="10">F139*G139</f>
        <v>200</v>
      </c>
      <c r="I139" s="75" t="s">
        <v>89</v>
      </c>
      <c r="J139" s="75">
        <v>6.0</v>
      </c>
      <c r="K139" s="76">
        <v>775.0</v>
      </c>
    </row>
    <row r="140">
      <c r="B140" s="3" t="s">
        <v>84</v>
      </c>
      <c r="C140" s="84">
        <v>1450.0</v>
      </c>
      <c r="E140" s="75" t="s">
        <v>85</v>
      </c>
      <c r="F140" s="75">
        <v>6.0</v>
      </c>
      <c r="G140" s="76">
        <v>70.0</v>
      </c>
      <c r="H140" s="76">
        <f t="shared" si="10"/>
        <v>420</v>
      </c>
      <c r="I140" s="75" t="s">
        <v>91</v>
      </c>
      <c r="J140" s="75">
        <v>4.0</v>
      </c>
      <c r="K140" s="76">
        <v>650.0</v>
      </c>
    </row>
    <row r="141">
      <c r="B141" s="3" t="s">
        <v>87</v>
      </c>
      <c r="C141" s="83">
        <v>500.0</v>
      </c>
      <c r="E141" s="75" t="s">
        <v>88</v>
      </c>
      <c r="F141" s="75">
        <v>6.0</v>
      </c>
      <c r="G141" s="76">
        <v>50.0</v>
      </c>
      <c r="H141" s="76">
        <f t="shared" si="10"/>
        <v>300</v>
      </c>
      <c r="I141" s="75" t="s">
        <v>92</v>
      </c>
      <c r="J141" s="75">
        <v>4.0</v>
      </c>
      <c r="K141" s="76">
        <v>650.0</v>
      </c>
    </row>
    <row r="142">
      <c r="B142" s="3" t="s">
        <v>65</v>
      </c>
      <c r="C142" s="85">
        <f>C138-sum(C139:C141)</f>
        <v>1400</v>
      </c>
      <c r="E142" s="75" t="s">
        <v>90</v>
      </c>
      <c r="F142" s="75">
        <v>8.0</v>
      </c>
      <c r="G142" s="76">
        <v>30.0</v>
      </c>
      <c r="H142" s="76">
        <f t="shared" si="10"/>
        <v>240</v>
      </c>
      <c r="I142" s="75" t="s">
        <v>98</v>
      </c>
      <c r="J142" s="75">
        <v>8.0</v>
      </c>
      <c r="K142" s="76">
        <v>1000.0</v>
      </c>
    </row>
    <row r="143">
      <c r="B143" s="3" t="s">
        <v>53</v>
      </c>
      <c r="C143" s="86">
        <f>C142/C138</f>
        <v>0.3111111111</v>
      </c>
      <c r="E143" s="75" t="s">
        <v>100</v>
      </c>
      <c r="F143" s="75">
        <v>4.0</v>
      </c>
      <c r="G143" s="76">
        <v>30.0</v>
      </c>
      <c r="H143" s="76">
        <f t="shared" si="10"/>
        <v>120</v>
      </c>
      <c r="I143" s="75" t="s">
        <v>101</v>
      </c>
      <c r="J143" s="75">
        <v>4.0</v>
      </c>
      <c r="K143" s="76">
        <v>650.0</v>
      </c>
    </row>
    <row r="144">
      <c r="E144" s="75" t="s">
        <v>102</v>
      </c>
      <c r="F144" s="75">
        <v>4.0</v>
      </c>
      <c r="G144" s="76">
        <v>30.0</v>
      </c>
      <c r="H144" s="76">
        <f t="shared" si="10"/>
        <v>120</v>
      </c>
      <c r="I144" s="75" t="s">
        <v>103</v>
      </c>
      <c r="J144" s="75">
        <v>6.0</v>
      </c>
      <c r="K144" s="76">
        <v>775.0</v>
      </c>
    </row>
    <row r="145">
      <c r="E145" s="77"/>
      <c r="F145" s="77"/>
      <c r="G145" s="77"/>
      <c r="H145" s="77"/>
      <c r="I145" s="77"/>
      <c r="J145" s="77"/>
      <c r="K145" s="76"/>
    </row>
    <row r="146">
      <c r="D146" s="55"/>
      <c r="E146" s="78" t="s">
        <v>68</v>
      </c>
      <c r="F146" s="78" t="s">
        <v>29</v>
      </c>
      <c r="G146" s="78" t="s">
        <v>24</v>
      </c>
      <c r="H146" s="78" t="s">
        <v>71</v>
      </c>
      <c r="I146" s="78" t="s">
        <v>93</v>
      </c>
      <c r="J146" s="78" t="s">
        <v>74</v>
      </c>
      <c r="K146" s="78" t="s">
        <v>30</v>
      </c>
      <c r="L146" s="55"/>
    </row>
    <row r="147">
      <c r="E147" s="79">
        <f>average(C140/I147)</f>
        <v>290</v>
      </c>
      <c r="F147" s="80">
        <f>SUM(J139:J145)</f>
        <v>32</v>
      </c>
      <c r="G147" s="79">
        <f>sum(H139:H145)</f>
        <v>1400</v>
      </c>
      <c r="H147" s="79">
        <f>G147/I147</f>
        <v>280</v>
      </c>
      <c r="I147" s="81">
        <v>5.0</v>
      </c>
      <c r="J147" s="79">
        <f>K147/I147</f>
        <v>900</v>
      </c>
      <c r="K147" s="79">
        <f>sum(K139:K145)</f>
        <v>4500</v>
      </c>
    </row>
    <row r="150">
      <c r="B150" s="1" t="s">
        <v>104</v>
      </c>
      <c r="C150" s="2"/>
      <c r="D150" s="2"/>
      <c r="E150" s="2"/>
      <c r="F150" s="2"/>
      <c r="G150" s="2"/>
      <c r="H150" s="2"/>
      <c r="I150" s="2"/>
      <c r="J150" s="2"/>
      <c r="K150" s="2"/>
      <c r="L150" s="5"/>
    </row>
    <row r="151">
      <c r="E151" s="3" t="s">
        <v>76</v>
      </c>
      <c r="F151" s="4"/>
      <c r="G151" s="4"/>
      <c r="H151" s="3"/>
      <c r="I151" s="3" t="s">
        <v>77</v>
      </c>
      <c r="J151" s="4"/>
      <c r="K151" s="4"/>
    </row>
    <row r="152">
      <c r="B152" s="3" t="s">
        <v>30</v>
      </c>
      <c r="C152" s="82">
        <f>K161</f>
        <v>4500</v>
      </c>
      <c r="E152" s="6" t="s">
        <v>78</v>
      </c>
      <c r="F152" s="6" t="s">
        <v>79</v>
      </c>
      <c r="G152" s="6" t="s">
        <v>37</v>
      </c>
      <c r="H152" s="6" t="s">
        <v>80</v>
      </c>
      <c r="I152" s="6" t="s">
        <v>78</v>
      </c>
      <c r="J152" s="6" t="s">
        <v>79</v>
      </c>
      <c r="K152" s="6" t="s">
        <v>81</v>
      </c>
    </row>
    <row r="153">
      <c r="B153" s="3" t="s">
        <v>32</v>
      </c>
      <c r="C153" s="83">
        <v>1150.0</v>
      </c>
      <c r="E153" s="75" t="s">
        <v>82</v>
      </c>
      <c r="F153" s="75">
        <v>4.0</v>
      </c>
      <c r="G153" s="76">
        <v>50.0</v>
      </c>
      <c r="H153" s="76">
        <f t="shared" ref="H153:H158" si="11">F153*G153</f>
        <v>200</v>
      </c>
      <c r="I153" s="75" t="s">
        <v>89</v>
      </c>
      <c r="J153" s="75">
        <v>6.0</v>
      </c>
      <c r="K153" s="76">
        <v>775.0</v>
      </c>
    </row>
    <row r="154">
      <c r="B154" s="3" t="s">
        <v>84</v>
      </c>
      <c r="C154" s="84">
        <v>1450.0</v>
      </c>
      <c r="E154" s="75" t="s">
        <v>85</v>
      </c>
      <c r="F154" s="75">
        <v>6.0</v>
      </c>
      <c r="G154" s="76">
        <v>70.0</v>
      </c>
      <c r="H154" s="76">
        <f t="shared" si="11"/>
        <v>420</v>
      </c>
      <c r="I154" s="75" t="s">
        <v>91</v>
      </c>
      <c r="J154" s="75">
        <v>4.0</v>
      </c>
      <c r="K154" s="76">
        <v>650.0</v>
      </c>
    </row>
    <row r="155">
      <c r="B155" s="3" t="s">
        <v>87</v>
      </c>
      <c r="C155" s="84">
        <v>650.0</v>
      </c>
      <c r="E155" s="75" t="s">
        <v>88</v>
      </c>
      <c r="F155" s="75">
        <v>6.0</v>
      </c>
      <c r="G155" s="76">
        <v>50.0</v>
      </c>
      <c r="H155" s="76">
        <f t="shared" si="11"/>
        <v>300</v>
      </c>
      <c r="I155" s="75" t="s">
        <v>92</v>
      </c>
      <c r="J155" s="75">
        <v>4.0</v>
      </c>
      <c r="K155" s="76">
        <v>650.0</v>
      </c>
    </row>
    <row r="156">
      <c r="B156" s="3" t="s">
        <v>65</v>
      </c>
      <c r="C156" s="85">
        <f>C152-sum(C153:C155)</f>
        <v>1250</v>
      </c>
      <c r="E156" s="75" t="s">
        <v>90</v>
      </c>
      <c r="F156" s="75">
        <v>8.0</v>
      </c>
      <c r="G156" s="76">
        <v>30.0</v>
      </c>
      <c r="H156" s="76">
        <f t="shared" si="11"/>
        <v>240</v>
      </c>
      <c r="I156" s="75" t="s">
        <v>98</v>
      </c>
      <c r="J156" s="75">
        <v>8.0</v>
      </c>
      <c r="K156" s="76">
        <v>1000.0</v>
      </c>
    </row>
    <row r="157">
      <c r="B157" s="3" t="s">
        <v>53</v>
      </c>
      <c r="C157" s="86">
        <f>C156/C152</f>
        <v>0.2777777778</v>
      </c>
      <c r="E157" s="75" t="s">
        <v>100</v>
      </c>
      <c r="F157" s="75">
        <v>4.0</v>
      </c>
      <c r="G157" s="76">
        <v>30.0</v>
      </c>
      <c r="H157" s="76">
        <f t="shared" si="11"/>
        <v>120</v>
      </c>
      <c r="I157" s="75" t="s">
        <v>101</v>
      </c>
      <c r="J157" s="75">
        <v>4.0</v>
      </c>
      <c r="K157" s="76">
        <v>650.0</v>
      </c>
    </row>
    <row r="158">
      <c r="E158" s="75" t="s">
        <v>102</v>
      </c>
      <c r="F158" s="75">
        <v>4.0</v>
      </c>
      <c r="G158" s="76">
        <v>30.0</v>
      </c>
      <c r="H158" s="76">
        <f t="shared" si="11"/>
        <v>120</v>
      </c>
      <c r="I158" s="75" t="s">
        <v>103</v>
      </c>
      <c r="J158" s="75">
        <v>6.0</v>
      </c>
      <c r="K158" s="76">
        <v>775.0</v>
      </c>
    </row>
    <row r="159">
      <c r="E159" s="77"/>
      <c r="F159" s="77"/>
      <c r="G159" s="77"/>
      <c r="H159" s="77"/>
      <c r="I159" s="77"/>
      <c r="J159" s="77"/>
      <c r="K159" s="76"/>
    </row>
    <row r="160">
      <c r="D160" s="55"/>
      <c r="E160" s="78" t="s">
        <v>68</v>
      </c>
      <c r="F160" s="78" t="s">
        <v>29</v>
      </c>
      <c r="G160" s="78" t="s">
        <v>24</v>
      </c>
      <c r="H160" s="78" t="s">
        <v>71</v>
      </c>
      <c r="I160" s="78" t="s">
        <v>93</v>
      </c>
      <c r="J160" s="78" t="s">
        <v>74</v>
      </c>
      <c r="K160" s="78" t="s">
        <v>30</v>
      </c>
      <c r="L160" s="55"/>
    </row>
    <row r="161">
      <c r="E161" s="79">
        <f>average(C154/I161)</f>
        <v>290</v>
      </c>
      <c r="F161" s="80">
        <f>SUM(J153:J159)</f>
        <v>32</v>
      </c>
      <c r="G161" s="79">
        <f>sum(H153:H159)</f>
        <v>1400</v>
      </c>
      <c r="H161" s="79">
        <f>G161/I161</f>
        <v>280</v>
      </c>
      <c r="I161" s="81">
        <v>5.0</v>
      </c>
      <c r="J161" s="79">
        <f>K161/I161</f>
        <v>900</v>
      </c>
      <c r="K161" s="79">
        <f>sum(K153:K159)</f>
        <v>4500</v>
      </c>
    </row>
    <row r="164">
      <c r="B164" s="1" t="s">
        <v>105</v>
      </c>
      <c r="C164" s="2"/>
      <c r="D164" s="2"/>
      <c r="E164" s="2"/>
      <c r="F164" s="2"/>
      <c r="G164" s="2"/>
      <c r="H164" s="2"/>
      <c r="I164" s="2"/>
      <c r="J164" s="2"/>
      <c r="K164" s="2"/>
      <c r="L164" s="5"/>
    </row>
    <row r="165">
      <c r="E165" s="3" t="s">
        <v>76</v>
      </c>
      <c r="F165" s="4"/>
      <c r="G165" s="4"/>
      <c r="H165" s="3"/>
      <c r="I165" s="3" t="s">
        <v>77</v>
      </c>
      <c r="J165" s="4"/>
      <c r="K165" s="4"/>
    </row>
    <row r="166">
      <c r="B166" s="3" t="s">
        <v>30</v>
      </c>
      <c r="C166" s="82">
        <f>K175</f>
        <v>4500</v>
      </c>
      <c r="E166" s="6" t="s">
        <v>78</v>
      </c>
      <c r="F166" s="6" t="s">
        <v>79</v>
      </c>
      <c r="G166" s="6" t="s">
        <v>37</v>
      </c>
      <c r="H166" s="6" t="s">
        <v>80</v>
      </c>
      <c r="I166" s="6" t="s">
        <v>78</v>
      </c>
      <c r="J166" s="6" t="s">
        <v>79</v>
      </c>
      <c r="K166" s="6" t="s">
        <v>81</v>
      </c>
    </row>
    <row r="167">
      <c r="B167" s="3" t="s">
        <v>32</v>
      </c>
      <c r="C167" s="83">
        <v>1150.0</v>
      </c>
      <c r="E167" s="75" t="s">
        <v>82</v>
      </c>
      <c r="F167" s="75">
        <v>4.0</v>
      </c>
      <c r="G167" s="76">
        <v>50.0</v>
      </c>
      <c r="H167" s="76">
        <f t="shared" ref="H167:H172" si="12">F167*G167</f>
        <v>200</v>
      </c>
      <c r="I167" s="75" t="s">
        <v>89</v>
      </c>
      <c r="J167" s="75">
        <v>6.0</v>
      </c>
      <c r="K167" s="76">
        <v>775.0</v>
      </c>
    </row>
    <row r="168">
      <c r="B168" s="3" t="s">
        <v>84</v>
      </c>
      <c r="C168" s="84">
        <v>1500.0</v>
      </c>
      <c r="E168" s="75" t="s">
        <v>85</v>
      </c>
      <c r="F168" s="75">
        <v>6.0</v>
      </c>
      <c r="G168" s="76">
        <v>70.0</v>
      </c>
      <c r="H168" s="76">
        <f t="shared" si="12"/>
        <v>420</v>
      </c>
      <c r="I168" s="75" t="s">
        <v>91</v>
      </c>
      <c r="J168" s="75">
        <v>4.0</v>
      </c>
      <c r="K168" s="76">
        <v>650.0</v>
      </c>
    </row>
    <row r="169">
      <c r="B169" s="3" t="s">
        <v>87</v>
      </c>
      <c r="C169" s="84">
        <v>700.0</v>
      </c>
      <c r="E169" s="75" t="s">
        <v>88</v>
      </c>
      <c r="F169" s="75">
        <v>6.0</v>
      </c>
      <c r="G169" s="76">
        <v>50.0</v>
      </c>
      <c r="H169" s="76">
        <f t="shared" si="12"/>
        <v>300</v>
      </c>
      <c r="I169" s="75" t="s">
        <v>92</v>
      </c>
      <c r="J169" s="75">
        <v>4.0</v>
      </c>
      <c r="K169" s="76">
        <v>650.0</v>
      </c>
    </row>
    <row r="170">
      <c r="B170" s="3" t="s">
        <v>65</v>
      </c>
      <c r="C170" s="85">
        <f>C166-sum(C167:C169)</f>
        <v>1150</v>
      </c>
      <c r="E170" s="75" t="s">
        <v>90</v>
      </c>
      <c r="F170" s="75">
        <v>8.0</v>
      </c>
      <c r="G170" s="76">
        <v>30.0</v>
      </c>
      <c r="H170" s="76">
        <f t="shared" si="12"/>
        <v>240</v>
      </c>
      <c r="I170" s="75" t="s">
        <v>98</v>
      </c>
      <c r="J170" s="75">
        <v>8.0</v>
      </c>
      <c r="K170" s="76">
        <v>1000.0</v>
      </c>
    </row>
    <row r="171">
      <c r="B171" s="3" t="s">
        <v>53</v>
      </c>
      <c r="C171" s="86">
        <f>C170/C166</f>
        <v>0.2555555556</v>
      </c>
      <c r="E171" s="75" t="s">
        <v>100</v>
      </c>
      <c r="F171" s="75">
        <v>4.0</v>
      </c>
      <c r="G171" s="76">
        <v>30.0</v>
      </c>
      <c r="H171" s="76">
        <f t="shared" si="12"/>
        <v>120</v>
      </c>
      <c r="I171" s="75" t="s">
        <v>101</v>
      </c>
      <c r="J171" s="75">
        <v>4.0</v>
      </c>
      <c r="K171" s="76">
        <v>650.0</v>
      </c>
    </row>
    <row r="172">
      <c r="E172" s="75" t="s">
        <v>102</v>
      </c>
      <c r="F172" s="75">
        <v>4.0</v>
      </c>
      <c r="G172" s="76">
        <v>30.0</v>
      </c>
      <c r="H172" s="76">
        <f t="shared" si="12"/>
        <v>120</v>
      </c>
      <c r="I172" s="75" t="s">
        <v>103</v>
      </c>
      <c r="J172" s="75">
        <v>6.0</v>
      </c>
      <c r="K172" s="76">
        <v>775.0</v>
      </c>
    </row>
    <row r="173">
      <c r="E173" s="77"/>
      <c r="F173" s="77"/>
      <c r="G173" s="77"/>
      <c r="H173" s="77"/>
      <c r="I173" s="77"/>
      <c r="J173" s="77"/>
      <c r="K173" s="76"/>
    </row>
    <row r="174">
      <c r="D174" s="55"/>
      <c r="E174" s="78" t="s">
        <v>68</v>
      </c>
      <c r="F174" s="78" t="s">
        <v>29</v>
      </c>
      <c r="G174" s="78" t="s">
        <v>24</v>
      </c>
      <c r="H174" s="78" t="s">
        <v>71</v>
      </c>
      <c r="I174" s="78" t="s">
        <v>93</v>
      </c>
      <c r="J174" s="78" t="s">
        <v>74</v>
      </c>
      <c r="K174" s="78" t="s">
        <v>30</v>
      </c>
      <c r="L174" s="55"/>
    </row>
    <row r="175">
      <c r="E175" s="79">
        <f>average(C168/I175)</f>
        <v>300</v>
      </c>
      <c r="F175" s="80">
        <f>SUM(J167:J173)</f>
        <v>32</v>
      </c>
      <c r="G175" s="79">
        <f>sum(H167:H173)</f>
        <v>1400</v>
      </c>
      <c r="H175" s="79">
        <f>G175/I175</f>
        <v>280</v>
      </c>
      <c r="I175" s="81">
        <v>5.0</v>
      </c>
      <c r="J175" s="79">
        <f>K175/I175</f>
        <v>900</v>
      </c>
      <c r="K175" s="79">
        <f>sum(K167:K173)</f>
        <v>4500</v>
      </c>
    </row>
    <row r="178">
      <c r="B178" s="1" t="s">
        <v>106</v>
      </c>
      <c r="C178" s="2"/>
      <c r="D178" s="2"/>
      <c r="E178" s="2"/>
      <c r="F178" s="2"/>
      <c r="G178" s="2"/>
      <c r="H178" s="2"/>
      <c r="I178" s="2"/>
      <c r="J178" s="2"/>
      <c r="K178" s="2"/>
      <c r="L178" s="5"/>
    </row>
    <row r="179">
      <c r="E179" s="3" t="s">
        <v>76</v>
      </c>
      <c r="F179" s="4"/>
      <c r="G179" s="4"/>
      <c r="H179" s="3"/>
      <c r="I179" s="3" t="s">
        <v>77</v>
      </c>
      <c r="J179" s="4"/>
      <c r="K179" s="4"/>
    </row>
    <row r="180">
      <c r="B180" s="3" t="s">
        <v>30</v>
      </c>
      <c r="C180" s="82">
        <f>K189</f>
        <v>5275</v>
      </c>
      <c r="E180" s="6" t="s">
        <v>78</v>
      </c>
      <c r="F180" s="6" t="s">
        <v>79</v>
      </c>
      <c r="G180" s="6" t="s">
        <v>37</v>
      </c>
      <c r="H180" s="6" t="s">
        <v>80</v>
      </c>
      <c r="I180" s="6" t="s">
        <v>78</v>
      </c>
      <c r="J180" s="6" t="s">
        <v>79</v>
      </c>
      <c r="K180" s="6" t="s">
        <v>81</v>
      </c>
    </row>
    <row r="181">
      <c r="B181" s="3" t="s">
        <v>32</v>
      </c>
      <c r="C181" s="83">
        <v>1150.0</v>
      </c>
      <c r="E181" s="75" t="s">
        <v>82</v>
      </c>
      <c r="F181" s="75">
        <v>4.0</v>
      </c>
      <c r="G181" s="76">
        <v>50.0</v>
      </c>
      <c r="H181" s="76">
        <f t="shared" ref="H181:H186" si="13">F181*G181</f>
        <v>200</v>
      </c>
      <c r="I181" s="75" t="s">
        <v>89</v>
      </c>
      <c r="J181" s="75">
        <v>6.0</v>
      </c>
      <c r="K181" s="76">
        <v>775.0</v>
      </c>
    </row>
    <row r="182">
      <c r="B182" s="3" t="s">
        <v>84</v>
      </c>
      <c r="C182" s="84">
        <v>1700.0</v>
      </c>
      <c r="E182" s="75" t="s">
        <v>85</v>
      </c>
      <c r="F182" s="75">
        <v>8.0</v>
      </c>
      <c r="G182" s="76">
        <v>70.0</v>
      </c>
      <c r="H182" s="76">
        <f t="shared" si="13"/>
        <v>560</v>
      </c>
      <c r="I182" s="75" t="s">
        <v>91</v>
      </c>
      <c r="J182" s="75">
        <v>4.0</v>
      </c>
      <c r="K182" s="76">
        <v>650.0</v>
      </c>
    </row>
    <row r="183">
      <c r="B183" s="3" t="s">
        <v>87</v>
      </c>
      <c r="C183" s="84">
        <v>850.0</v>
      </c>
      <c r="E183" s="75" t="s">
        <v>88</v>
      </c>
      <c r="F183" s="75">
        <v>8.0</v>
      </c>
      <c r="G183" s="76">
        <v>50.0</v>
      </c>
      <c r="H183" s="76">
        <f t="shared" si="13"/>
        <v>400</v>
      </c>
      <c r="I183" s="75" t="s">
        <v>92</v>
      </c>
      <c r="J183" s="75">
        <v>4.0</v>
      </c>
      <c r="K183" s="76">
        <v>650.0</v>
      </c>
    </row>
    <row r="184">
      <c r="B184" s="3" t="s">
        <v>65</v>
      </c>
      <c r="C184" s="85">
        <f>C180-sum(C181:C183)</f>
        <v>1575</v>
      </c>
      <c r="E184" s="75" t="s">
        <v>90</v>
      </c>
      <c r="F184" s="75">
        <v>8.0</v>
      </c>
      <c r="G184" s="76">
        <v>30.0</v>
      </c>
      <c r="H184" s="76">
        <f t="shared" si="13"/>
        <v>240</v>
      </c>
      <c r="I184" s="75" t="s">
        <v>98</v>
      </c>
      <c r="J184" s="75">
        <v>8.0</v>
      </c>
      <c r="K184" s="76">
        <v>1000.0</v>
      </c>
    </row>
    <row r="185">
      <c r="B185" s="3" t="s">
        <v>53</v>
      </c>
      <c r="C185" s="86">
        <f>C184/C180</f>
        <v>0.2985781991</v>
      </c>
      <c r="E185" s="75" t="s">
        <v>100</v>
      </c>
      <c r="F185" s="75">
        <v>6.0</v>
      </c>
      <c r="G185" s="76">
        <v>30.0</v>
      </c>
      <c r="H185" s="76">
        <f t="shared" si="13"/>
        <v>180</v>
      </c>
      <c r="I185" s="75" t="s">
        <v>101</v>
      </c>
      <c r="J185" s="75">
        <v>6.0</v>
      </c>
      <c r="K185" s="76">
        <v>775.0</v>
      </c>
    </row>
    <row r="186">
      <c r="E186" s="75" t="s">
        <v>102</v>
      </c>
      <c r="F186" s="75">
        <v>4.0</v>
      </c>
      <c r="G186" s="76">
        <v>30.0</v>
      </c>
      <c r="H186" s="76">
        <f t="shared" si="13"/>
        <v>120</v>
      </c>
      <c r="I186" s="75" t="s">
        <v>103</v>
      </c>
      <c r="J186" s="75">
        <v>6.0</v>
      </c>
      <c r="K186" s="76">
        <v>775.0</v>
      </c>
    </row>
    <row r="187">
      <c r="E187" s="77"/>
      <c r="F187" s="77"/>
      <c r="G187" s="77"/>
      <c r="H187" s="77"/>
      <c r="I187" s="75" t="s">
        <v>107</v>
      </c>
      <c r="J187" s="75">
        <v>4.0</v>
      </c>
      <c r="K187" s="76">
        <v>650.0</v>
      </c>
    </row>
    <row r="188">
      <c r="D188" s="55"/>
      <c r="E188" s="78" t="s">
        <v>68</v>
      </c>
      <c r="F188" s="78" t="s">
        <v>29</v>
      </c>
      <c r="G188" s="78" t="s">
        <v>24</v>
      </c>
      <c r="H188" s="78" t="s">
        <v>71</v>
      </c>
      <c r="I188" s="78" t="s">
        <v>93</v>
      </c>
      <c r="J188" s="78" t="s">
        <v>74</v>
      </c>
      <c r="K188" s="78" t="s">
        <v>30</v>
      </c>
      <c r="L188" s="55"/>
    </row>
    <row r="189">
      <c r="E189" s="79">
        <f>average(C182/I189)</f>
        <v>340</v>
      </c>
      <c r="F189" s="80">
        <f>SUM(J181:J187)</f>
        <v>38</v>
      </c>
      <c r="G189" s="79">
        <f>sum(H181:H187)</f>
        <v>1700</v>
      </c>
      <c r="H189" s="79">
        <f>G189/I189</f>
        <v>340</v>
      </c>
      <c r="I189" s="81">
        <v>5.0</v>
      </c>
      <c r="J189" s="79">
        <f>K189/I189</f>
        <v>1055</v>
      </c>
      <c r="K189" s="79">
        <f>sum(K181:K187)</f>
        <v>5275</v>
      </c>
    </row>
    <row r="192">
      <c r="B192" s="1" t="s">
        <v>108</v>
      </c>
      <c r="C192" s="2"/>
      <c r="D192" s="2"/>
      <c r="E192" s="2"/>
      <c r="F192" s="2"/>
      <c r="G192" s="2"/>
      <c r="H192" s="2"/>
      <c r="I192" s="2"/>
      <c r="J192" s="2"/>
      <c r="K192" s="2"/>
      <c r="L192" s="5"/>
    </row>
    <row r="193">
      <c r="E193" s="3" t="s">
        <v>76</v>
      </c>
      <c r="F193" s="4"/>
      <c r="G193" s="4"/>
      <c r="H193" s="3"/>
      <c r="I193" s="3" t="s">
        <v>77</v>
      </c>
      <c r="J193" s="4"/>
      <c r="K193" s="4"/>
    </row>
    <row r="194">
      <c r="B194" s="3" t="s">
        <v>30</v>
      </c>
      <c r="C194" s="82">
        <f>K203</f>
        <v>3375</v>
      </c>
      <c r="E194" s="6" t="s">
        <v>78</v>
      </c>
      <c r="F194" s="6" t="s">
        <v>79</v>
      </c>
      <c r="G194" s="6" t="s">
        <v>37</v>
      </c>
      <c r="H194" s="6" t="s">
        <v>80</v>
      </c>
      <c r="I194" s="6" t="s">
        <v>78</v>
      </c>
      <c r="J194" s="6" t="s">
        <v>79</v>
      </c>
      <c r="K194" s="6" t="s">
        <v>81</v>
      </c>
    </row>
    <row r="195">
      <c r="B195" s="3" t="s">
        <v>32</v>
      </c>
      <c r="C195" s="83">
        <v>1150.0</v>
      </c>
      <c r="E195" s="75" t="s">
        <v>82</v>
      </c>
      <c r="F195" s="75">
        <v>4.0</v>
      </c>
      <c r="G195" s="76">
        <v>50.0</v>
      </c>
      <c r="H195" s="76">
        <f t="shared" ref="H195:H198" si="14">F195*G195</f>
        <v>200</v>
      </c>
      <c r="I195" s="75" t="s">
        <v>83</v>
      </c>
      <c r="J195" s="75">
        <v>4.0</v>
      </c>
      <c r="K195" s="76">
        <v>650.0</v>
      </c>
    </row>
    <row r="196">
      <c r="B196" s="3" t="s">
        <v>84</v>
      </c>
      <c r="C196" s="83">
        <f>G203</f>
        <v>1020</v>
      </c>
      <c r="E196" s="75" t="s">
        <v>85</v>
      </c>
      <c r="F196" s="75">
        <v>4.0</v>
      </c>
      <c r="G196" s="76">
        <v>70.0</v>
      </c>
      <c r="H196" s="76">
        <f t="shared" si="14"/>
        <v>280</v>
      </c>
      <c r="I196" s="75" t="s">
        <v>86</v>
      </c>
      <c r="J196" s="75">
        <v>4.0</v>
      </c>
      <c r="K196" s="76">
        <v>650.0</v>
      </c>
    </row>
    <row r="197">
      <c r="B197" s="3" t="s">
        <v>87</v>
      </c>
      <c r="C197" s="83">
        <v>500.0</v>
      </c>
      <c r="E197" s="75" t="s">
        <v>88</v>
      </c>
      <c r="F197" s="75">
        <v>6.0</v>
      </c>
      <c r="G197" s="76">
        <v>50.0</v>
      </c>
      <c r="H197" s="76">
        <f t="shared" si="14"/>
        <v>300</v>
      </c>
      <c r="I197" s="75" t="s">
        <v>89</v>
      </c>
      <c r="J197" s="75">
        <v>6.0</v>
      </c>
      <c r="K197" s="76">
        <v>775.0</v>
      </c>
    </row>
    <row r="198">
      <c r="B198" s="3" t="s">
        <v>65</v>
      </c>
      <c r="C198" s="85">
        <f>C194-sum(C195:C197)</f>
        <v>705</v>
      </c>
      <c r="E198" s="75" t="s">
        <v>90</v>
      </c>
      <c r="F198" s="75">
        <v>8.0</v>
      </c>
      <c r="G198" s="76">
        <v>30.0</v>
      </c>
      <c r="H198" s="76">
        <f t="shared" si="14"/>
        <v>240</v>
      </c>
      <c r="I198" s="75" t="s">
        <v>91</v>
      </c>
      <c r="J198" s="75">
        <v>4.0</v>
      </c>
      <c r="K198" s="76">
        <v>650.0</v>
      </c>
    </row>
    <row r="199">
      <c r="B199" s="3" t="s">
        <v>53</v>
      </c>
      <c r="C199" s="86">
        <f>C198/C194</f>
        <v>0.2088888889</v>
      </c>
      <c r="E199" s="77"/>
      <c r="F199" s="77"/>
      <c r="G199" s="76"/>
      <c r="H199" s="77"/>
      <c r="I199" s="75" t="s">
        <v>92</v>
      </c>
      <c r="J199" s="75">
        <v>4.0</v>
      </c>
      <c r="K199" s="76">
        <v>650.0</v>
      </c>
    </row>
    <row r="200">
      <c r="E200" s="77"/>
      <c r="F200" s="77"/>
      <c r="G200" s="76"/>
      <c r="H200" s="77"/>
      <c r="I200" s="77"/>
      <c r="J200" s="77"/>
      <c r="K200" s="76"/>
    </row>
    <row r="201">
      <c r="E201" s="77"/>
      <c r="F201" s="77"/>
      <c r="G201" s="77"/>
      <c r="H201" s="77"/>
      <c r="I201" s="77"/>
      <c r="J201" s="77"/>
      <c r="K201" s="76"/>
    </row>
    <row r="202">
      <c r="D202" s="55"/>
      <c r="E202" s="78" t="s">
        <v>68</v>
      </c>
      <c r="F202" s="78" t="s">
        <v>29</v>
      </c>
      <c r="G202" s="78" t="s">
        <v>24</v>
      </c>
      <c r="H202" s="78" t="s">
        <v>71</v>
      </c>
      <c r="I202" s="78" t="s">
        <v>93</v>
      </c>
      <c r="J202" s="78" t="s">
        <v>74</v>
      </c>
      <c r="K202" s="78" t="s">
        <v>30</v>
      </c>
      <c r="L202" s="55"/>
    </row>
    <row r="203">
      <c r="E203" s="79">
        <f>average(C197/I203)</f>
        <v>100</v>
      </c>
      <c r="F203" s="80">
        <f>SUM(J195:J201)</f>
        <v>22</v>
      </c>
      <c r="G203" s="79">
        <f>sum(H195:H201)</f>
        <v>1020</v>
      </c>
      <c r="H203" s="79">
        <f>G203/I203</f>
        <v>204</v>
      </c>
      <c r="I203" s="81">
        <v>5.0</v>
      </c>
      <c r="J203" s="79">
        <f>K203/I203</f>
        <v>675</v>
      </c>
      <c r="K203" s="79">
        <f>sum(K195:K201)</f>
        <v>3375</v>
      </c>
    </row>
    <row r="205">
      <c r="E205" s="8"/>
    </row>
  </sheetData>
  <mergeCells count="14">
    <mergeCell ref="B122:L122"/>
    <mergeCell ref="B136:L136"/>
    <mergeCell ref="B150:L150"/>
    <mergeCell ref="B164:L164"/>
    <mergeCell ref="B178:L178"/>
    <mergeCell ref="B192:L192"/>
    <mergeCell ref="B23:L23"/>
    <mergeCell ref="B38:L38"/>
    <mergeCell ref="B52:L52"/>
    <mergeCell ref="B66:L66"/>
    <mergeCell ref="B80:L80"/>
    <mergeCell ref="B94:L94"/>
    <mergeCell ref="B108:L108"/>
    <mergeCell ref="B2:L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.29"/>
  </cols>
  <sheetData>
    <row r="3">
      <c r="B3" s="3" t="s">
        <v>1</v>
      </c>
      <c r="C3" s="4"/>
      <c r="D3" s="4"/>
      <c r="E3" s="4"/>
      <c r="F3" s="4"/>
      <c r="H3" s="3" t="s">
        <v>3</v>
      </c>
      <c r="I3" s="4"/>
    </row>
    <row r="4">
      <c r="B4" s="6" t="s">
        <v>5</v>
      </c>
      <c r="C4" s="6" t="s">
        <v>7</v>
      </c>
      <c r="D4" s="6" t="s">
        <v>8</v>
      </c>
      <c r="E4" s="6" t="s">
        <v>9</v>
      </c>
      <c r="F4" s="6" t="s">
        <v>10</v>
      </c>
      <c r="H4" s="6" t="s">
        <v>11</v>
      </c>
      <c r="I4" s="6" t="s">
        <v>12</v>
      </c>
    </row>
    <row r="5">
      <c r="B5" s="8" t="s">
        <v>13</v>
      </c>
      <c r="C5" s="9" t="s">
        <v>14</v>
      </c>
      <c r="D5" s="10">
        <v>30.0</v>
      </c>
      <c r="E5" s="10">
        <v>30.0</v>
      </c>
      <c r="F5" s="10">
        <v>40.0</v>
      </c>
      <c r="H5" s="8" t="s">
        <v>15</v>
      </c>
      <c r="I5" s="8" t="s">
        <v>16</v>
      </c>
    </row>
    <row r="6">
      <c r="B6" s="8" t="s">
        <v>17</v>
      </c>
      <c r="C6" s="9" t="s">
        <v>18</v>
      </c>
      <c r="D6" s="10">
        <v>30.0</v>
      </c>
      <c r="E6" s="10">
        <v>40.0</v>
      </c>
      <c r="F6" s="10">
        <v>50.0</v>
      </c>
      <c r="H6" s="8" t="s">
        <v>19</v>
      </c>
      <c r="I6" s="8" t="s">
        <v>16</v>
      </c>
    </row>
    <row r="7">
      <c r="B7" s="8" t="s">
        <v>21</v>
      </c>
      <c r="C7" s="9" t="s">
        <v>23</v>
      </c>
      <c r="D7" s="10">
        <v>40.0</v>
      </c>
      <c r="E7" s="10">
        <v>50.0</v>
      </c>
      <c r="F7" s="10">
        <v>60.0</v>
      </c>
      <c r="H7" s="8" t="s">
        <v>25</v>
      </c>
      <c r="I7" s="8" t="s">
        <v>26</v>
      </c>
    </row>
    <row r="8">
      <c r="B8" s="8" t="s">
        <v>27</v>
      </c>
      <c r="C8" s="9" t="s">
        <v>28</v>
      </c>
      <c r="D8" s="10">
        <v>50.0</v>
      </c>
      <c r="E8" s="10">
        <v>50.0</v>
      </c>
      <c r="F8" s="10">
        <v>60.0</v>
      </c>
      <c r="H8" s="8" t="s">
        <v>31</v>
      </c>
      <c r="I8" s="8" t="s">
        <v>26</v>
      </c>
    </row>
    <row r="9">
      <c r="H9" s="8" t="s">
        <v>33</v>
      </c>
      <c r="I9" s="8" t="s">
        <v>16</v>
      </c>
    </row>
    <row r="14">
      <c r="B14" s="12" t="s">
        <v>34</v>
      </c>
      <c r="C14" s="13" t="s">
        <v>35</v>
      </c>
      <c r="D14" s="13" t="s">
        <v>36</v>
      </c>
      <c r="E14" s="14" t="s">
        <v>37</v>
      </c>
      <c r="F14" s="13" t="s">
        <v>38</v>
      </c>
      <c r="G14" s="16" t="s">
        <v>39</v>
      </c>
      <c r="H14" s="16" t="s">
        <v>41</v>
      </c>
    </row>
    <row r="15">
      <c r="B15" s="17" t="s">
        <v>42</v>
      </c>
      <c r="C15" s="18">
        <v>1.0</v>
      </c>
      <c r="D15" s="20">
        <v>1.0</v>
      </c>
      <c r="E15" s="21">
        <v>50.0</v>
      </c>
      <c r="F15" s="23">
        <f t="shared" ref="F15:F22" si="1">C15*E15</f>
        <v>50</v>
      </c>
      <c r="G15" s="24">
        <f t="shared" ref="G15:G22" si="2">D15*E15</f>
        <v>50</v>
      </c>
      <c r="H15" s="24">
        <f t="shared" ref="H15:H23" si="3">F15+G15</f>
        <v>100</v>
      </c>
    </row>
    <row r="16">
      <c r="B16" s="25" t="s">
        <v>46</v>
      </c>
      <c r="C16" s="26">
        <v>2.0</v>
      </c>
      <c r="D16" s="27">
        <v>2.0</v>
      </c>
      <c r="E16" s="28">
        <v>70.0</v>
      </c>
      <c r="F16" s="29">
        <f t="shared" si="1"/>
        <v>140</v>
      </c>
      <c r="G16" s="30">
        <f t="shared" si="2"/>
        <v>140</v>
      </c>
      <c r="H16" s="30">
        <f t="shared" si="3"/>
        <v>280</v>
      </c>
    </row>
    <row r="17">
      <c r="B17" s="17" t="s">
        <v>49</v>
      </c>
      <c r="C17" s="18">
        <v>4.0</v>
      </c>
      <c r="D17" s="20">
        <v>4.0</v>
      </c>
      <c r="E17" s="21">
        <v>50.0</v>
      </c>
      <c r="F17" s="23">
        <f t="shared" si="1"/>
        <v>200</v>
      </c>
      <c r="G17" s="24">
        <f t="shared" si="2"/>
        <v>200</v>
      </c>
      <c r="H17" s="24">
        <f t="shared" si="3"/>
        <v>400</v>
      </c>
    </row>
    <row r="18">
      <c r="B18" s="25" t="s">
        <v>51</v>
      </c>
      <c r="C18" s="26">
        <v>6.0</v>
      </c>
      <c r="D18" s="27">
        <v>6.0</v>
      </c>
      <c r="E18" s="28">
        <v>30.0</v>
      </c>
      <c r="F18" s="29">
        <f t="shared" si="1"/>
        <v>180</v>
      </c>
      <c r="G18" s="30">
        <f t="shared" si="2"/>
        <v>180</v>
      </c>
      <c r="H18" s="30">
        <f t="shared" si="3"/>
        <v>360</v>
      </c>
    </row>
    <row r="19">
      <c r="B19" s="32" t="s">
        <v>52</v>
      </c>
      <c r="C19" s="33">
        <v>5.0</v>
      </c>
      <c r="D19" s="34">
        <v>5.0</v>
      </c>
      <c r="E19" s="35">
        <v>30.0</v>
      </c>
      <c r="F19" s="37">
        <f t="shared" si="1"/>
        <v>150</v>
      </c>
      <c r="G19" s="38">
        <f t="shared" si="2"/>
        <v>150</v>
      </c>
      <c r="H19" s="38">
        <f t="shared" si="3"/>
        <v>300</v>
      </c>
    </row>
    <row r="20">
      <c r="B20" s="39" t="s">
        <v>55</v>
      </c>
      <c r="C20" s="40">
        <v>10.0</v>
      </c>
      <c r="D20" s="41">
        <v>10.0</v>
      </c>
      <c r="E20" s="42">
        <v>25.0</v>
      </c>
      <c r="F20" s="43">
        <f t="shared" si="1"/>
        <v>250</v>
      </c>
      <c r="G20" s="44">
        <f t="shared" si="2"/>
        <v>250</v>
      </c>
      <c r="H20" s="44">
        <f t="shared" si="3"/>
        <v>500</v>
      </c>
    </row>
    <row r="21">
      <c r="B21" s="17" t="s">
        <v>13</v>
      </c>
      <c r="C21" s="18">
        <v>20.0</v>
      </c>
      <c r="D21" s="20">
        <v>20.0</v>
      </c>
      <c r="E21" s="45">
        <v>22.0</v>
      </c>
      <c r="F21" s="23">
        <f t="shared" si="1"/>
        <v>440</v>
      </c>
      <c r="G21" s="24">
        <f t="shared" si="2"/>
        <v>440</v>
      </c>
      <c r="H21" s="24">
        <f t="shared" si="3"/>
        <v>880</v>
      </c>
    </row>
    <row r="22">
      <c r="B22" s="39" t="s">
        <v>59</v>
      </c>
      <c r="C22" s="46">
        <v>40.0</v>
      </c>
      <c r="D22" s="47">
        <v>40.0</v>
      </c>
      <c r="E22" s="42">
        <v>20.0</v>
      </c>
      <c r="F22" s="48">
        <f t="shared" si="1"/>
        <v>800</v>
      </c>
      <c r="G22" s="49">
        <f t="shared" si="2"/>
        <v>800</v>
      </c>
      <c r="H22" s="49">
        <f t="shared" si="3"/>
        <v>1600</v>
      </c>
    </row>
    <row r="23">
      <c r="B23" s="50"/>
      <c r="C23" s="50"/>
      <c r="D23" s="50"/>
      <c r="E23" s="51"/>
      <c r="F23" s="52">
        <f t="shared" ref="F23:G23" si="4">sum(F15:F22)</f>
        <v>2210</v>
      </c>
      <c r="G23" s="52">
        <f t="shared" si="4"/>
        <v>2210</v>
      </c>
      <c r="H23" s="53">
        <f t="shared" si="3"/>
        <v>4420</v>
      </c>
    </row>
    <row r="28">
      <c r="B28" s="54"/>
      <c r="E28" s="54"/>
    </row>
    <row r="29">
      <c r="C29" s="19"/>
      <c r="D29" s="19"/>
    </row>
    <row r="30">
      <c r="C30" s="19"/>
      <c r="D30" s="19"/>
    </row>
    <row r="31">
      <c r="C31" s="19"/>
      <c r="D31" s="19"/>
    </row>
    <row r="32">
      <c r="C32" s="19"/>
      <c r="D32" s="19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2025-11-21T17:57:47Z</dcterms:created>
  <dc:creator>Melissa Mosier</dc:creator>
</cp:coreProperties>
</file>